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en_skoroszyt" defaultThemeVersion="124226"/>
  <bookViews>
    <workbookView xWindow="480" yWindow="120" windowWidth="37395" windowHeight="17685" activeTab="1"/>
  </bookViews>
  <sheets>
    <sheet name="wstep" sheetId="1" r:id="rId1"/>
    <sheet name="kalkulator" sheetId="2" r:id="rId2"/>
    <sheet name="konfig" sheetId="3" r:id="rId3"/>
    <sheet name="algorytm" sheetId="5" r:id="rId4"/>
  </sheets>
  <calcPr calcId="145621"/>
</workbook>
</file>

<file path=xl/calcChain.xml><?xml version="1.0" encoding="utf-8"?>
<calcChain xmlns="http://schemas.openxmlformats.org/spreadsheetml/2006/main">
  <c r="H11" i="2" l="1"/>
  <c r="H10" i="2"/>
  <c r="H9" i="2"/>
  <c r="B151" i="5" s="1"/>
  <c r="H8" i="2"/>
  <c r="B148" i="5" s="1"/>
  <c r="G10" i="2"/>
  <c r="G8" i="2"/>
  <c r="K14" i="5"/>
  <c r="L14" i="5"/>
  <c r="X14" i="5"/>
  <c r="Y14" i="5"/>
  <c r="C16" i="5"/>
  <c r="D16" i="5"/>
  <c r="E16" i="5"/>
  <c r="F16" i="5"/>
  <c r="G16" i="5"/>
  <c r="J16" i="5"/>
  <c r="C17" i="5"/>
  <c r="D17" i="5"/>
  <c r="E17" i="5"/>
  <c r="F17" i="5"/>
  <c r="G17" i="5"/>
  <c r="H17" i="5"/>
  <c r="I17" i="5"/>
  <c r="J17" i="5"/>
  <c r="C42" i="5"/>
  <c r="C43" i="5"/>
  <c r="D43" i="5"/>
  <c r="D42" i="5" s="1"/>
  <c r="E43" i="5"/>
  <c r="E42" i="5" s="1"/>
  <c r="F43" i="5"/>
  <c r="F42" i="5" s="1"/>
  <c r="C44" i="5"/>
  <c r="D44" i="5"/>
  <c r="E44" i="5"/>
  <c r="F44" i="5"/>
  <c r="K44" i="5"/>
  <c r="L44" i="5"/>
  <c r="X44" i="5"/>
  <c r="Y44" i="5"/>
  <c r="K46" i="5"/>
  <c r="L46" i="5"/>
  <c r="X46" i="5"/>
  <c r="Y46" i="5"/>
  <c r="K76" i="5"/>
  <c r="L76" i="5"/>
  <c r="X76" i="5"/>
  <c r="Y76" i="5"/>
  <c r="K77" i="5"/>
  <c r="L77" i="5"/>
  <c r="X77" i="5"/>
  <c r="Y77" i="5"/>
  <c r="K82" i="5"/>
  <c r="K78" i="5" s="1"/>
  <c r="L82" i="5"/>
  <c r="L78" i="5" s="1"/>
  <c r="X82" i="5"/>
  <c r="X78" i="5" s="1"/>
  <c r="Y82" i="5"/>
  <c r="Y78" i="5" s="1"/>
  <c r="C84" i="5"/>
  <c r="D84" i="5"/>
  <c r="E84" i="5"/>
  <c r="F84" i="5"/>
  <c r="G84" i="5"/>
  <c r="J84" i="5"/>
  <c r="C85" i="5"/>
  <c r="D85" i="5"/>
  <c r="E85" i="5"/>
  <c r="F85" i="5"/>
  <c r="G85" i="5"/>
  <c r="H85" i="5"/>
  <c r="I85" i="5"/>
  <c r="J85" i="5"/>
  <c r="U97" i="5"/>
  <c r="U95" i="5" s="1"/>
  <c r="T103" i="5"/>
  <c r="W103" i="5"/>
  <c r="S104" i="5"/>
  <c r="S102" i="5" s="1"/>
  <c r="T104" i="5"/>
  <c r="T102" i="5" s="1"/>
  <c r="T96" i="5" s="1"/>
  <c r="U104" i="5"/>
  <c r="U102" i="5" s="1"/>
  <c r="U96" i="5" s="1"/>
  <c r="V104" i="5"/>
  <c r="V102" i="5" s="1"/>
  <c r="W104" i="5"/>
  <c r="W102" i="5" s="1"/>
  <c r="W96" i="5" s="1"/>
  <c r="T105" i="5"/>
  <c r="U105" i="5"/>
  <c r="U103" i="5" s="1"/>
  <c r="W105" i="5"/>
  <c r="C110" i="5"/>
  <c r="D110" i="5"/>
  <c r="Q105" i="5" s="1"/>
  <c r="Q103" i="5" s="1"/>
  <c r="C111" i="5"/>
  <c r="D111" i="5"/>
  <c r="E111" i="5"/>
  <c r="E110" i="5" s="1"/>
  <c r="F111" i="5"/>
  <c r="F110" i="5" s="1"/>
  <c r="C112" i="5"/>
  <c r="D112" i="5"/>
  <c r="E112" i="5"/>
  <c r="F112" i="5"/>
  <c r="K112" i="5"/>
  <c r="L112" i="5"/>
  <c r="X112" i="5"/>
  <c r="Y112" i="5"/>
  <c r="K114" i="5"/>
  <c r="L114" i="5"/>
  <c r="P114" i="5"/>
  <c r="P104" i="5" s="1"/>
  <c r="P102" i="5" s="1"/>
  <c r="Q114" i="5"/>
  <c r="R114" i="5"/>
  <c r="S114" i="5"/>
  <c r="X114" i="5"/>
  <c r="Y114" i="5"/>
  <c r="P115" i="5"/>
  <c r="Q115" i="5"/>
  <c r="R115" i="5"/>
  <c r="R105" i="5" s="1"/>
  <c r="R103" i="5" s="1"/>
  <c r="S115" i="5"/>
  <c r="B149" i="5" l="1"/>
  <c r="I8" i="5"/>
  <c r="I16" i="5" s="1"/>
  <c r="V105" i="5"/>
  <c r="V103" i="5" s="1"/>
  <c r="V97" i="5" s="1"/>
  <c r="V95" i="5" s="1"/>
  <c r="B150" i="5"/>
  <c r="H8" i="5" s="1"/>
  <c r="H16" i="5" s="1"/>
  <c r="B153" i="5"/>
  <c r="I76" i="5" s="1"/>
  <c r="I84" i="5" s="1"/>
  <c r="B152" i="5"/>
  <c r="H76" i="5" s="1"/>
  <c r="H84" i="5" s="1"/>
  <c r="Q97" i="5"/>
  <c r="Q95" i="5" s="1"/>
  <c r="W97" i="5"/>
  <c r="W95" i="5" s="1"/>
  <c r="C5" i="5"/>
  <c r="C14" i="5" s="1"/>
  <c r="C25" i="5" s="1"/>
  <c r="C12" i="5" s="1"/>
  <c r="G5" i="5"/>
  <c r="G14" i="5" s="1"/>
  <c r="G25" i="5" s="1"/>
  <c r="G12" i="5" s="1"/>
  <c r="K5" i="5"/>
  <c r="K8" i="5" s="1"/>
  <c r="K10" i="5" s="1"/>
  <c r="D5" i="5"/>
  <c r="D14" i="5" s="1"/>
  <c r="D25" i="5" s="1"/>
  <c r="D12" i="5" s="1"/>
  <c r="H5" i="5"/>
  <c r="H14" i="5" s="1"/>
  <c r="H25" i="5" s="1"/>
  <c r="H12" i="5" s="1"/>
  <c r="L5" i="5"/>
  <c r="L8" i="5" s="1"/>
  <c r="L10" i="5" s="1"/>
  <c r="E5" i="5"/>
  <c r="E14" i="5" s="1"/>
  <c r="E25" i="5" s="1"/>
  <c r="E12" i="5" s="1"/>
  <c r="I5" i="5"/>
  <c r="I14" i="5" s="1"/>
  <c r="I25" i="5" s="1"/>
  <c r="I12" i="5" s="1"/>
  <c r="F5" i="5"/>
  <c r="F14" i="5" s="1"/>
  <c r="F25" i="5" s="1"/>
  <c r="F12" i="5" s="1"/>
  <c r="J5" i="5"/>
  <c r="J14" i="5" s="1"/>
  <c r="J25" i="5" s="1"/>
  <c r="J12" i="5" s="1"/>
  <c r="T97" i="5"/>
  <c r="T95" i="5" s="1"/>
  <c r="S50" i="5"/>
  <c r="S47" i="5" s="1"/>
  <c r="W50" i="5"/>
  <c r="W37" i="5" s="1"/>
  <c r="W35" i="5" s="1"/>
  <c r="P50" i="5"/>
  <c r="P47" i="5" s="1"/>
  <c r="U50" i="5"/>
  <c r="Q50" i="5"/>
  <c r="Q47" i="5" s="1"/>
  <c r="V50" i="5"/>
  <c r="V37" i="5" s="1"/>
  <c r="V35" i="5" s="1"/>
  <c r="R50" i="5"/>
  <c r="R47" i="5" s="1"/>
  <c r="T50" i="5"/>
  <c r="T37" i="5" s="1"/>
  <c r="T35" i="5" s="1"/>
  <c r="P105" i="5"/>
  <c r="P103" i="5" s="1"/>
  <c r="P97" i="5" s="1"/>
  <c r="P95" i="5" s="1"/>
  <c r="K83" i="5"/>
  <c r="K87" i="5" s="1"/>
  <c r="K84" i="5"/>
  <c r="K88" i="5" s="1"/>
  <c r="K85" i="5"/>
  <c r="K89" i="5" s="1"/>
  <c r="K104" i="5" s="1"/>
  <c r="K108" i="5" s="1"/>
  <c r="S49" i="5"/>
  <c r="S46" i="5" s="1"/>
  <c r="W49" i="5"/>
  <c r="W36" i="5" s="1"/>
  <c r="W34" i="5" s="1"/>
  <c r="T49" i="5"/>
  <c r="T36" i="5" s="1"/>
  <c r="T34" i="5" s="1"/>
  <c r="P49" i="5"/>
  <c r="P46" i="5" s="1"/>
  <c r="U49" i="5"/>
  <c r="U36" i="5" s="1"/>
  <c r="U34" i="5" s="1"/>
  <c r="Q49" i="5"/>
  <c r="Q46" i="5" s="1"/>
  <c r="V49" i="5"/>
  <c r="V36" i="5" s="1"/>
  <c r="V34" i="5" s="1"/>
  <c r="R49" i="5"/>
  <c r="R46" i="5" s="1"/>
  <c r="S105" i="5"/>
  <c r="S103" i="5" s="1"/>
  <c r="S97" i="5" s="1"/>
  <c r="S95" i="5" s="1"/>
  <c r="R104" i="5"/>
  <c r="R102" i="5" s="1"/>
  <c r="R96" i="5" s="1"/>
  <c r="Y83" i="5"/>
  <c r="Y87" i="5" s="1"/>
  <c r="Y84" i="5"/>
  <c r="Y88" i="5" s="1"/>
  <c r="Y85" i="5"/>
  <c r="Q104" i="5"/>
  <c r="Q102" i="5" s="1"/>
  <c r="Q96" i="5" s="1"/>
  <c r="U93" i="5"/>
  <c r="U82" i="5" s="1"/>
  <c r="U73" i="5" s="1"/>
  <c r="U94" i="5"/>
  <c r="X83" i="5"/>
  <c r="X87" i="5" s="1"/>
  <c r="X84" i="5"/>
  <c r="X88" i="5" s="1"/>
  <c r="X85" i="5"/>
  <c r="X89" i="5" s="1"/>
  <c r="X104" i="5" s="1"/>
  <c r="X108" i="5" s="1"/>
  <c r="L83" i="5"/>
  <c r="L87" i="5" s="1"/>
  <c r="L84" i="5"/>
  <c r="L88" i="5" s="1"/>
  <c r="L85" i="5"/>
  <c r="C6" i="5"/>
  <c r="G6" i="5"/>
  <c r="K6" i="5"/>
  <c r="K9" i="5" s="1"/>
  <c r="D6" i="5"/>
  <c r="H6" i="5"/>
  <c r="L6" i="5"/>
  <c r="L9" i="5" s="1"/>
  <c r="E6" i="5"/>
  <c r="I6" i="5"/>
  <c r="F6" i="5"/>
  <c r="J6" i="5"/>
  <c r="V96" i="5" l="1"/>
  <c r="V94" i="5" s="1"/>
  <c r="V74" i="5" s="1"/>
  <c r="U74" i="5"/>
  <c r="W28" i="5"/>
  <c r="S36" i="5"/>
  <c r="S34" i="5" s="1"/>
  <c r="U37" i="5"/>
  <c r="U35" i="5" s="1"/>
  <c r="U28" i="5" s="1"/>
  <c r="V28" i="5"/>
  <c r="T28" i="5"/>
  <c r="R37" i="5"/>
  <c r="R35" i="5" s="1"/>
  <c r="Q36" i="5"/>
  <c r="Q34" i="5" s="1"/>
  <c r="P37" i="5"/>
  <c r="P35" i="5" s="1"/>
  <c r="J11" i="5"/>
  <c r="J13" i="5" s="1"/>
  <c r="J26" i="5" s="1"/>
  <c r="J15" i="5"/>
  <c r="G11" i="5"/>
  <c r="G13" i="5" s="1"/>
  <c r="G26" i="5" s="1"/>
  <c r="G15" i="5"/>
  <c r="X103" i="5"/>
  <c r="X107" i="5" s="1"/>
  <c r="R36" i="5"/>
  <c r="R34" i="5" s="1"/>
  <c r="P36" i="5"/>
  <c r="P34" i="5" s="1"/>
  <c r="K102" i="5"/>
  <c r="K106" i="5" s="1"/>
  <c r="T29" i="5"/>
  <c r="T27" i="5" s="1"/>
  <c r="J10" i="5"/>
  <c r="G10" i="5"/>
  <c r="R97" i="5"/>
  <c r="R95" i="5" s="1"/>
  <c r="K15" i="5"/>
  <c r="K19" i="5" s="1"/>
  <c r="K16" i="5"/>
  <c r="K20" i="5" s="1"/>
  <c r="K17" i="5"/>
  <c r="K21" i="5" s="1"/>
  <c r="F11" i="5"/>
  <c r="F13" i="5" s="1"/>
  <c r="F26" i="5" s="1"/>
  <c r="F15" i="5"/>
  <c r="H11" i="5"/>
  <c r="H13" i="5" s="1"/>
  <c r="H26" i="5" s="1"/>
  <c r="H15" i="5"/>
  <c r="C11" i="5"/>
  <c r="C13" i="5" s="1"/>
  <c r="C26" i="5" s="1"/>
  <c r="C15" i="5"/>
  <c r="L102" i="5"/>
  <c r="L106" i="5" s="1"/>
  <c r="X102" i="5"/>
  <c r="X106" i="5" s="1"/>
  <c r="Y89" i="5"/>
  <c r="Y102" i="5" s="1"/>
  <c r="Y106" i="5" s="1"/>
  <c r="Y104" i="5"/>
  <c r="Y108" i="5" s="1"/>
  <c r="F10" i="5"/>
  <c r="H10" i="5"/>
  <c r="C10" i="5"/>
  <c r="Q93" i="5"/>
  <c r="Q82" i="5" s="1"/>
  <c r="Q73" i="5" s="1"/>
  <c r="Q94" i="5"/>
  <c r="Q74" i="5" s="1"/>
  <c r="I11" i="5"/>
  <c r="I13" i="5" s="1"/>
  <c r="I26" i="5" s="1"/>
  <c r="I15" i="5"/>
  <c r="D11" i="5"/>
  <c r="D13" i="5" s="1"/>
  <c r="D26" i="5" s="1"/>
  <c r="D15" i="5"/>
  <c r="Y103" i="5"/>
  <c r="Y107" i="5" s="1"/>
  <c r="V29" i="5"/>
  <c r="V27" i="5" s="1"/>
  <c r="W29" i="5"/>
  <c r="W27" i="5" s="1"/>
  <c r="T94" i="5"/>
  <c r="T74" i="5" s="1"/>
  <c r="T93" i="5"/>
  <c r="T82" i="5" s="1"/>
  <c r="T73" i="5" s="1"/>
  <c r="I10" i="5"/>
  <c r="D10" i="5"/>
  <c r="W93" i="5"/>
  <c r="W82" i="5" s="1"/>
  <c r="W73" i="5" s="1"/>
  <c r="W94" i="5"/>
  <c r="W74" i="5" s="1"/>
  <c r="L15" i="5"/>
  <c r="L19" i="5" s="1"/>
  <c r="L16" i="5"/>
  <c r="L20" i="5" s="1"/>
  <c r="L17" i="5"/>
  <c r="E11" i="5"/>
  <c r="E13" i="5" s="1"/>
  <c r="E26" i="5" s="1"/>
  <c r="E15" i="5"/>
  <c r="L89" i="5"/>
  <c r="L103" i="5" s="1"/>
  <c r="L107" i="5" s="1"/>
  <c r="L104" i="5"/>
  <c r="L108" i="5" s="1"/>
  <c r="S93" i="5"/>
  <c r="S82" i="5" s="1"/>
  <c r="S73" i="5" s="1"/>
  <c r="K103" i="5"/>
  <c r="K107" i="5" s="1"/>
  <c r="Q37" i="5"/>
  <c r="Q35" i="5" s="1"/>
  <c r="S37" i="5"/>
  <c r="S35" i="5" s="1"/>
  <c r="E10" i="5"/>
  <c r="S96" i="5"/>
  <c r="S94" i="5" s="1"/>
  <c r="S74" i="5" s="1"/>
  <c r="P96" i="5"/>
  <c r="P93" i="5" s="1"/>
  <c r="P82" i="5" s="1"/>
  <c r="P73" i="5" s="1"/>
  <c r="V93" i="5" l="1"/>
  <c r="V82" i="5" s="1"/>
  <c r="V73" i="5" s="1"/>
  <c r="S29" i="5"/>
  <c r="S27" i="5" s="1"/>
  <c r="R28" i="5"/>
  <c r="J28" i="5"/>
  <c r="D29" i="5"/>
  <c r="F28" i="5"/>
  <c r="R29" i="5"/>
  <c r="R27" i="5" s="1"/>
  <c r="Q29" i="5"/>
  <c r="Q27" i="5" s="1"/>
  <c r="C28" i="5"/>
  <c r="G29" i="5"/>
  <c r="P28" i="5"/>
  <c r="I29" i="5"/>
  <c r="U29" i="5"/>
  <c r="U27" i="5" s="1"/>
  <c r="U26" i="5" s="1"/>
  <c r="U6" i="5" s="1"/>
  <c r="I28" i="5"/>
  <c r="D28" i="5"/>
  <c r="C29" i="5"/>
  <c r="F29" i="5"/>
  <c r="K35" i="5"/>
  <c r="K39" i="5" s="1"/>
  <c r="G28" i="5"/>
  <c r="Y117" i="5"/>
  <c r="Y129" i="5" s="1"/>
  <c r="E28" i="5"/>
  <c r="P94" i="5"/>
  <c r="P74" i="5" s="1"/>
  <c r="P29" i="5"/>
  <c r="P27" i="5" s="1"/>
  <c r="X117" i="5"/>
  <c r="X129" i="5" s="1"/>
  <c r="K36" i="5"/>
  <c r="K40" i="5" s="1"/>
  <c r="R93" i="5"/>
  <c r="R82" i="5" s="1"/>
  <c r="R73" i="5" s="1"/>
  <c r="R94" i="5"/>
  <c r="R74" i="5" s="1"/>
  <c r="J29" i="5"/>
  <c r="T25" i="5"/>
  <c r="T14" i="5" s="1"/>
  <c r="T5" i="5" s="1"/>
  <c r="T26" i="5"/>
  <c r="T6" i="5" s="1"/>
  <c r="W25" i="5"/>
  <c r="W14" i="5" s="1"/>
  <c r="W5" i="5" s="1"/>
  <c r="W26" i="5"/>
  <c r="W6" i="5" s="1"/>
  <c r="L129" i="5"/>
  <c r="L117" i="5"/>
  <c r="K117" i="5"/>
  <c r="K129" i="5"/>
  <c r="L118" i="5"/>
  <c r="L119" i="5" s="1"/>
  <c r="L120" i="5" s="1"/>
  <c r="L121" i="5" s="1"/>
  <c r="L122" i="5" s="1"/>
  <c r="L123" i="5" s="1"/>
  <c r="L124" i="5" s="1"/>
  <c r="L125" i="5" s="1"/>
  <c r="L126" i="5" s="1"/>
  <c r="L127" i="5" s="1"/>
  <c r="L128" i="5" s="1"/>
  <c r="L21" i="5"/>
  <c r="L34" i="5" s="1"/>
  <c r="L38" i="5" s="1"/>
  <c r="L36" i="5"/>
  <c r="L40" i="5" s="1"/>
  <c r="V25" i="5"/>
  <c r="V14" i="5" s="1"/>
  <c r="V5" i="5" s="1"/>
  <c r="V26" i="5"/>
  <c r="V6" i="5" s="1"/>
  <c r="H29" i="5"/>
  <c r="Y118" i="5"/>
  <c r="Y119" i="5" s="1"/>
  <c r="Y120" i="5" s="1"/>
  <c r="Y121" i="5" s="1"/>
  <c r="Y122" i="5" s="1"/>
  <c r="Y123" i="5" s="1"/>
  <c r="Y124" i="5" s="1"/>
  <c r="Y125" i="5" s="1"/>
  <c r="Y126" i="5" s="1"/>
  <c r="Y127" i="5" s="1"/>
  <c r="Y128" i="5" s="1"/>
  <c r="K34" i="5"/>
  <c r="K38" i="5" s="1"/>
  <c r="E29" i="5"/>
  <c r="S28" i="5"/>
  <c r="Q28" i="5"/>
  <c r="H28" i="5"/>
  <c r="R25" i="5" l="1"/>
  <c r="R14" i="5" s="1"/>
  <c r="R5" i="5" s="1"/>
  <c r="J37" i="5"/>
  <c r="J50" i="5" s="1"/>
  <c r="F37" i="5"/>
  <c r="L35" i="5"/>
  <c r="L39" i="5" s="1"/>
  <c r="L49" i="5" s="1"/>
  <c r="L50" i="5" s="1"/>
  <c r="L51" i="5" s="1"/>
  <c r="L52" i="5" s="1"/>
  <c r="L53" i="5" s="1"/>
  <c r="L54" i="5" s="1"/>
  <c r="L55" i="5" s="1"/>
  <c r="L56" i="5" s="1"/>
  <c r="L57" i="5" s="1"/>
  <c r="L58" i="5" s="1"/>
  <c r="L59" i="5" s="1"/>
  <c r="L60" i="5" s="1"/>
  <c r="C36" i="5"/>
  <c r="F36" i="5"/>
  <c r="S25" i="5"/>
  <c r="S14" i="5" s="1"/>
  <c r="S5" i="5" s="1"/>
  <c r="Y5" i="5"/>
  <c r="Y8" i="5" s="1"/>
  <c r="Y10" i="5" s="1"/>
  <c r="Y6" i="5"/>
  <c r="Y9" i="5" s="1"/>
  <c r="C37" i="5"/>
  <c r="D37" i="5"/>
  <c r="I36" i="5"/>
  <c r="I49" i="5" s="1"/>
  <c r="G36" i="5"/>
  <c r="G49" i="5" s="1"/>
  <c r="R26" i="5"/>
  <c r="R6" i="5" s="1"/>
  <c r="Q25" i="5"/>
  <c r="Q14" i="5" s="1"/>
  <c r="Q5" i="5" s="1"/>
  <c r="J36" i="5"/>
  <c r="J49" i="5" s="1"/>
  <c r="I37" i="5"/>
  <c r="I50" i="5" s="1"/>
  <c r="G37" i="5"/>
  <c r="G50" i="5" s="1"/>
  <c r="D36" i="5"/>
  <c r="U25" i="5"/>
  <c r="U14" i="5" s="1"/>
  <c r="U5" i="5" s="1"/>
  <c r="H37" i="5"/>
  <c r="H50" i="5" s="1"/>
  <c r="E37" i="5"/>
  <c r="H36" i="5"/>
  <c r="H49" i="5" s="1"/>
  <c r="Q26" i="5"/>
  <c r="Q6" i="5" s="1"/>
  <c r="K115" i="5"/>
  <c r="K116" i="5"/>
  <c r="K118" i="5"/>
  <c r="K119" i="5" s="1"/>
  <c r="K120" i="5" s="1"/>
  <c r="K121" i="5" s="1"/>
  <c r="K122" i="5" s="1"/>
  <c r="K123" i="5" s="1"/>
  <c r="K124" i="5" s="1"/>
  <c r="K125" i="5" s="1"/>
  <c r="K126" i="5" s="1"/>
  <c r="K127" i="5" s="1"/>
  <c r="K128" i="5" s="1"/>
  <c r="K49" i="5"/>
  <c r="K50" i="5" s="1"/>
  <c r="K51" i="5" s="1"/>
  <c r="K52" i="5" s="1"/>
  <c r="K53" i="5" s="1"/>
  <c r="K54" i="5" s="1"/>
  <c r="K55" i="5" s="1"/>
  <c r="K56" i="5" s="1"/>
  <c r="K57" i="5" s="1"/>
  <c r="K58" i="5" s="1"/>
  <c r="K59" i="5" s="1"/>
  <c r="K60" i="5" s="1"/>
  <c r="S26" i="5"/>
  <c r="S6" i="5" s="1"/>
  <c r="X5" i="5"/>
  <c r="X8" i="5" s="1"/>
  <c r="X10" i="5" s="1"/>
  <c r="X116" i="5"/>
  <c r="X115" i="5"/>
  <c r="X118" i="5"/>
  <c r="X119" i="5" s="1"/>
  <c r="X120" i="5" s="1"/>
  <c r="X121" i="5" s="1"/>
  <c r="X122" i="5" s="1"/>
  <c r="X123" i="5" s="1"/>
  <c r="X124" i="5" s="1"/>
  <c r="X125" i="5" s="1"/>
  <c r="X126" i="5" s="1"/>
  <c r="X127" i="5" s="1"/>
  <c r="X128" i="5" s="1"/>
  <c r="L116" i="5"/>
  <c r="L115" i="5"/>
  <c r="P25" i="5"/>
  <c r="P14" i="5" s="1"/>
  <c r="P5" i="5" s="1"/>
  <c r="P26" i="5"/>
  <c r="P6" i="5" s="1"/>
  <c r="X6" i="5" s="1"/>
  <c r="X9" i="5" s="1"/>
  <c r="E36" i="5"/>
  <c r="Y115" i="5"/>
  <c r="Y116" i="5"/>
  <c r="D46" i="5" l="1"/>
  <c r="D49" i="5" s="1"/>
  <c r="F46" i="5"/>
  <c r="F49" i="5" s="1"/>
  <c r="F47" i="5"/>
  <c r="F50" i="5" s="1"/>
  <c r="C46" i="5"/>
  <c r="C49" i="5" s="1"/>
  <c r="K61" i="5"/>
  <c r="D47" i="5"/>
  <c r="D50" i="5" s="1"/>
  <c r="C47" i="5"/>
  <c r="C50" i="5" s="1"/>
  <c r="Y15" i="5"/>
  <c r="Y19" i="5" s="1"/>
  <c r="Y17" i="5"/>
  <c r="Y21" i="5" s="1"/>
  <c r="Y16" i="5"/>
  <c r="Y20" i="5" s="1"/>
  <c r="E46" i="5"/>
  <c r="E49" i="5" s="1"/>
  <c r="L47" i="5"/>
  <c r="L48" i="5"/>
  <c r="K47" i="5"/>
  <c r="K48" i="5"/>
  <c r="E47" i="5"/>
  <c r="E50" i="5" s="1"/>
  <c r="X15" i="5"/>
  <c r="X19" i="5" s="1"/>
  <c r="X16" i="5"/>
  <c r="X20" i="5" s="1"/>
  <c r="X17" i="5"/>
  <c r="X21" i="5" s="1"/>
  <c r="L61" i="5"/>
  <c r="Y36" i="5" l="1"/>
  <c r="Y40" i="5" s="1"/>
  <c r="Y35" i="5"/>
  <c r="Y39" i="5" s="1"/>
  <c r="Y34" i="5"/>
  <c r="Y38" i="5" s="1"/>
  <c r="X35" i="5"/>
  <c r="X39" i="5" s="1"/>
  <c r="X34" i="5"/>
  <c r="X38" i="5" s="1"/>
  <c r="X36" i="5"/>
  <c r="X40" i="5" s="1"/>
  <c r="Y49" i="5" l="1"/>
  <c r="X49" i="5"/>
  <c r="X50" i="5" s="1"/>
  <c r="X51" i="5" s="1"/>
  <c r="X52" i="5" s="1"/>
  <c r="X53" i="5" s="1"/>
  <c r="X54" i="5" s="1"/>
  <c r="X55" i="5" s="1"/>
  <c r="X56" i="5" s="1"/>
  <c r="X57" i="5" s="1"/>
  <c r="X58" i="5" s="1"/>
  <c r="X59" i="5" s="1"/>
  <c r="X60" i="5" s="1"/>
  <c r="E57" i="5" s="1"/>
  <c r="Y48" i="5" l="1"/>
  <c r="Y47" i="5"/>
  <c r="Y50" i="5"/>
  <c r="Y51" i="5" s="1"/>
  <c r="Y52" i="5" s="1"/>
  <c r="Y53" i="5" s="1"/>
  <c r="Y54" i="5" s="1"/>
  <c r="Y55" i="5" s="1"/>
  <c r="Y56" i="5" s="1"/>
  <c r="Y57" i="5" s="1"/>
  <c r="Y58" i="5" s="1"/>
  <c r="Y59" i="5" s="1"/>
  <c r="Y60" i="5" s="1"/>
  <c r="C57" i="5" s="1"/>
  <c r="D57" i="5" s="1"/>
  <c r="Y61" i="5"/>
  <c r="C58" i="5" s="1"/>
  <c r="D58" i="5" s="1"/>
  <c r="X61" i="5"/>
  <c r="E58" i="5" s="1"/>
  <c r="J74" i="5" s="1"/>
  <c r="I73" i="5"/>
  <c r="I82" i="5" s="1"/>
  <c r="I93" i="5" s="1"/>
  <c r="I80" i="5" s="1"/>
  <c r="J73" i="5"/>
  <c r="J82" i="5" s="1"/>
  <c r="J93" i="5" s="1"/>
  <c r="J80" i="5" s="1"/>
  <c r="C145" i="5"/>
  <c r="X48" i="5"/>
  <c r="X47" i="5"/>
  <c r="C146" i="5" l="1"/>
  <c r="D146" i="5" s="1"/>
  <c r="G74" i="5"/>
  <c r="F74" i="5"/>
  <c r="H74" i="5"/>
  <c r="E74" i="5"/>
  <c r="C74" i="5"/>
  <c r="D74" i="5"/>
  <c r="E73" i="5"/>
  <c r="E82" i="5" s="1"/>
  <c r="E93" i="5" s="1"/>
  <c r="E80" i="5" s="1"/>
  <c r="C73" i="5"/>
  <c r="C82" i="5" s="1"/>
  <c r="C93" i="5" s="1"/>
  <c r="C80" i="5" s="1"/>
  <c r="D73" i="5"/>
  <c r="D82" i="5" s="1"/>
  <c r="D93" i="5" s="1"/>
  <c r="D80" i="5" s="1"/>
  <c r="G73" i="5"/>
  <c r="G82" i="5" s="1"/>
  <c r="G93" i="5" s="1"/>
  <c r="G80" i="5" s="1"/>
  <c r="F73" i="5"/>
  <c r="F82" i="5" s="1"/>
  <c r="F93" i="5" s="1"/>
  <c r="F80" i="5" s="1"/>
  <c r="H73" i="5"/>
  <c r="H82" i="5" s="1"/>
  <c r="H93" i="5" s="1"/>
  <c r="H80" i="5" s="1"/>
  <c r="I74" i="5"/>
  <c r="I83" i="5" s="1"/>
  <c r="D145" i="5"/>
  <c r="J78" i="5"/>
  <c r="J79" i="5"/>
  <c r="J81" i="5" s="1"/>
  <c r="J94" i="5" s="1"/>
  <c r="J83" i="5"/>
  <c r="I78" i="5"/>
  <c r="H78" i="5" l="1"/>
  <c r="C78" i="5"/>
  <c r="E79" i="5"/>
  <c r="E81" i="5" s="1"/>
  <c r="E94" i="5" s="1"/>
  <c r="E83" i="5"/>
  <c r="E78" i="5"/>
  <c r="H83" i="5"/>
  <c r="H79" i="5"/>
  <c r="H81" i="5" s="1"/>
  <c r="H94" i="5" s="1"/>
  <c r="F78" i="5"/>
  <c r="G78" i="5"/>
  <c r="D83" i="5"/>
  <c r="D79" i="5"/>
  <c r="D81" i="5" s="1"/>
  <c r="D94" i="5" s="1"/>
  <c r="F79" i="5"/>
  <c r="F81" i="5" s="1"/>
  <c r="F94" i="5" s="1"/>
  <c r="F83" i="5"/>
  <c r="D78" i="5"/>
  <c r="C79" i="5"/>
  <c r="C81" i="5" s="1"/>
  <c r="C94" i="5" s="1"/>
  <c r="C83" i="5"/>
  <c r="G83" i="5"/>
  <c r="G79" i="5"/>
  <c r="G81" i="5" s="1"/>
  <c r="G94" i="5" s="1"/>
  <c r="I79" i="5"/>
  <c r="I81" i="5" s="1"/>
  <c r="I94" i="5" s="1"/>
  <c r="J97" i="5"/>
  <c r="J96" i="5"/>
  <c r="E146" i="5"/>
  <c r="E145" i="5"/>
  <c r="H96" i="5" l="1"/>
  <c r="F97" i="5"/>
  <c r="E96" i="5"/>
  <c r="G96" i="5"/>
  <c r="D97" i="5"/>
  <c r="D96" i="5"/>
  <c r="F96" i="5"/>
  <c r="G97" i="5"/>
  <c r="E97" i="5"/>
  <c r="C97" i="5"/>
  <c r="H97" i="5"/>
  <c r="C96" i="5"/>
  <c r="I97" i="5"/>
  <c r="I96" i="5"/>
  <c r="J104" i="5"/>
  <c r="J117" i="5" s="1"/>
  <c r="J105" i="5"/>
  <c r="J118" i="5" s="1"/>
  <c r="F145" i="5"/>
  <c r="F146" i="5"/>
  <c r="G105" i="5" l="1"/>
  <c r="G118" i="5" s="1"/>
  <c r="H105" i="5"/>
  <c r="H118" i="5" s="1"/>
  <c r="E105" i="5"/>
  <c r="D105" i="5"/>
  <c r="F105" i="5"/>
  <c r="C104" i="5"/>
  <c r="D104" i="5"/>
  <c r="G104" i="5"/>
  <c r="G117" i="5" s="1"/>
  <c r="F104" i="5"/>
  <c r="C105" i="5"/>
  <c r="C115" i="5" s="1"/>
  <c r="C118" i="5" s="1"/>
  <c r="H104" i="5"/>
  <c r="H117" i="5" s="1"/>
  <c r="E104" i="5"/>
  <c r="I105" i="5"/>
  <c r="I118" i="5" s="1"/>
  <c r="I104" i="5"/>
  <c r="I117" i="5" s="1"/>
  <c r="C143" i="5" l="1"/>
  <c r="F114" i="5"/>
  <c r="F117" i="5" s="1"/>
  <c r="D115" i="5"/>
  <c r="D118" i="5" s="1"/>
  <c r="F115" i="5"/>
  <c r="F118" i="5" s="1"/>
  <c r="E114" i="5"/>
  <c r="E117" i="5" s="1"/>
  <c r="C114" i="5"/>
  <c r="C117" i="5" s="1"/>
  <c r="C142" i="5" s="1"/>
  <c r="D114" i="5"/>
  <c r="D117" i="5" s="1"/>
  <c r="E115" i="5"/>
  <c r="E118" i="5" s="1"/>
</calcChain>
</file>

<file path=xl/sharedStrings.xml><?xml version="1.0" encoding="utf-8"?>
<sst xmlns="http://schemas.openxmlformats.org/spreadsheetml/2006/main" count="644" uniqueCount="156">
  <si>
    <t>układ współrzędnych</t>
  </si>
  <si>
    <t>kod_EPSG</t>
  </si>
  <si>
    <t>układ 1992</t>
  </si>
  <si>
    <t>układ 1965 - s I</t>
  </si>
  <si>
    <t>układ 1965 - s II</t>
  </si>
  <si>
    <t>układ 1965 - s III</t>
  </si>
  <si>
    <t>układ 1965 - s IV</t>
  </si>
  <si>
    <t>układ 1965 - s V</t>
  </si>
  <si>
    <t>układ współrzednych</t>
  </si>
  <si>
    <t>wejście</t>
  </si>
  <si>
    <t>wyjscie</t>
  </si>
  <si>
    <t>l.p.</t>
  </si>
  <si>
    <t>wyjście</t>
  </si>
  <si>
    <t>X</t>
  </si>
  <si>
    <t>Y</t>
  </si>
  <si>
    <t>EPSG</t>
  </si>
  <si>
    <t>wyj poł 2000</t>
  </si>
  <si>
    <t>wyj poł 1942</t>
  </si>
  <si>
    <t>wej poł 2000</t>
  </si>
  <si>
    <t>wej poł 1942</t>
  </si>
  <si>
    <t>Wyj</t>
  </si>
  <si>
    <t>Wej</t>
  </si>
  <si>
    <t>Wyjście L</t>
  </si>
  <si>
    <t>Wyjście B</t>
  </si>
  <si>
    <t>sek</t>
  </si>
  <si>
    <t>min</t>
  </si>
  <si>
    <t>St</t>
  </si>
  <si>
    <t>Wyjście Y</t>
  </si>
  <si>
    <t>Wyjście X</t>
  </si>
  <si>
    <t>Wejście L</t>
  </si>
  <si>
    <t>Wejście B</t>
  </si>
  <si>
    <t>Wejście Y</t>
  </si>
  <si>
    <t>Wejście X</t>
  </si>
  <si>
    <t>L</t>
  </si>
  <si>
    <t>B</t>
  </si>
  <si>
    <t>B4</t>
  </si>
  <si>
    <t>l3</t>
  </si>
  <si>
    <t>c3</t>
  </si>
  <si>
    <t>B3</t>
  </si>
  <si>
    <t>l2</t>
  </si>
  <si>
    <t>c2</t>
  </si>
  <si>
    <t>B2</t>
  </si>
  <si>
    <t>l1</t>
  </si>
  <si>
    <t>c1</t>
  </si>
  <si>
    <t>B1</t>
  </si>
  <si>
    <t>Współrzędna Y</t>
  </si>
  <si>
    <t>rp</t>
  </si>
  <si>
    <t>Współrzędba X</t>
  </si>
  <si>
    <t>co</t>
  </si>
  <si>
    <t>wo</t>
  </si>
  <si>
    <t>Yst</t>
  </si>
  <si>
    <t>e kw</t>
  </si>
  <si>
    <t>Xst</t>
  </si>
  <si>
    <t>ek</t>
  </si>
  <si>
    <t>eg</t>
  </si>
  <si>
    <t>Xgo z tabeli</t>
  </si>
  <si>
    <t>pi</t>
  </si>
  <si>
    <t>Lo</t>
  </si>
  <si>
    <t>bk</t>
  </si>
  <si>
    <t>bg</t>
  </si>
  <si>
    <t>Bo</t>
  </si>
  <si>
    <t>ak</t>
  </si>
  <si>
    <t>ag</t>
  </si>
  <si>
    <t>Ro lub s - w punktGaus.</t>
  </si>
  <si>
    <t>Yo</t>
  </si>
  <si>
    <t>Zk</t>
  </si>
  <si>
    <t>Zg</t>
  </si>
  <si>
    <t>Xo</t>
  </si>
  <si>
    <t>Yk</t>
  </si>
  <si>
    <t>Yg</t>
  </si>
  <si>
    <t>Układ 1965</t>
  </si>
  <si>
    <t>Xk</t>
  </si>
  <si>
    <t>Xg</t>
  </si>
  <si>
    <t>z XYZk do BLk</t>
  </si>
  <si>
    <t>z XYZg do BLg</t>
  </si>
  <si>
    <t>Ygk</t>
  </si>
  <si>
    <t>Xgk</t>
  </si>
  <si>
    <t>v</t>
  </si>
  <si>
    <t>u</t>
  </si>
  <si>
    <t>Tz</t>
  </si>
  <si>
    <t>b8</t>
  </si>
  <si>
    <t>a8</t>
  </si>
  <si>
    <t>Ty</t>
  </si>
  <si>
    <t>b6</t>
  </si>
  <si>
    <t>a6</t>
  </si>
  <si>
    <t>Tx</t>
  </si>
  <si>
    <t>b4</t>
  </si>
  <si>
    <t>a4</t>
  </si>
  <si>
    <t>c33</t>
  </si>
  <si>
    <t>d33</t>
  </si>
  <si>
    <t>b2</t>
  </si>
  <si>
    <t>a2</t>
  </si>
  <si>
    <t>c32</t>
  </si>
  <si>
    <t>d32</t>
  </si>
  <si>
    <t>betta</t>
  </si>
  <si>
    <t>Ymer</t>
  </si>
  <si>
    <t>c31</t>
  </si>
  <si>
    <t>d31</t>
  </si>
  <si>
    <t>alfa</t>
  </si>
  <si>
    <t>Xmer</t>
  </si>
  <si>
    <t>c23</t>
  </si>
  <si>
    <t>d23</t>
  </si>
  <si>
    <t>w (współ.pom)</t>
  </si>
  <si>
    <t>c22</t>
  </si>
  <si>
    <t>d22</t>
  </si>
  <si>
    <t>delta lambda</t>
  </si>
  <si>
    <t>c21</t>
  </si>
  <si>
    <t>d21</t>
  </si>
  <si>
    <t>fi</t>
  </si>
  <si>
    <t>c13</t>
  </si>
  <si>
    <t>d13</t>
  </si>
  <si>
    <t>c8</t>
  </si>
  <si>
    <t>c12</t>
  </si>
  <si>
    <t>d12</t>
  </si>
  <si>
    <t>c6</t>
  </si>
  <si>
    <t>c11</t>
  </si>
  <si>
    <t>d11</t>
  </si>
  <si>
    <t>c4</t>
  </si>
  <si>
    <t>liczba e</t>
  </si>
  <si>
    <t>e - mimośród</t>
  </si>
  <si>
    <t>a-Krasowski</t>
  </si>
  <si>
    <t>z XYZg do XYZk</t>
  </si>
  <si>
    <t>z XYZk do XYZg</t>
  </si>
  <si>
    <t>Ro-promień sfery Lagrange'a</t>
  </si>
  <si>
    <t>Pi</t>
  </si>
  <si>
    <t>radiany Lo</t>
  </si>
  <si>
    <t>radiany L</t>
  </si>
  <si>
    <t>ekwad</t>
  </si>
  <si>
    <t>radiany B</t>
  </si>
  <si>
    <t>radiany lambda</t>
  </si>
  <si>
    <t>radiany fi</t>
  </si>
  <si>
    <t>lambda</t>
  </si>
  <si>
    <t>Rn</t>
  </si>
  <si>
    <t>mo</t>
  </si>
  <si>
    <r>
      <t>L</t>
    </r>
    <r>
      <rPr>
        <vertAlign val="subscript"/>
        <sz val="11"/>
        <rFont val="Arial CE"/>
        <family val="2"/>
        <charset val="238"/>
      </rPr>
      <t>O</t>
    </r>
  </si>
  <si>
    <t>H</t>
  </si>
  <si>
    <t>z BLg do XYZg</t>
  </si>
  <si>
    <t>z BLk do XYZk</t>
  </si>
  <si>
    <t>dot kol10z BL WGS do BL Kras</t>
  </si>
  <si>
    <t>dot kol9z BL Kras. do BL WGS</t>
  </si>
  <si>
    <t>z BL WGS do BL Kras</t>
  </si>
  <si>
    <t>z BL Kras. do BL WGS</t>
  </si>
  <si>
    <t>Strefa</t>
  </si>
  <si>
    <t>Pomocniczy WGS</t>
  </si>
  <si>
    <t>WGS 84</t>
  </si>
  <si>
    <t>Krasowski</t>
  </si>
  <si>
    <t>Pomocniczy Krasowski</t>
  </si>
  <si>
    <t>układ 2000 - s V (p 15)</t>
  </si>
  <si>
    <t>układ 2000 - s VI (p 18)</t>
  </si>
  <si>
    <t>układ 2000 - s VII (p 21)</t>
  </si>
  <si>
    <t>układ 2000 - s VIII (p 24)</t>
  </si>
  <si>
    <t>układ 1942 - p 21</t>
  </si>
  <si>
    <t>układ 1942 - p 15</t>
  </si>
  <si>
    <t>układ WGS 84</t>
  </si>
  <si>
    <t>X / N</t>
  </si>
  <si>
    <t>Y / 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</si>
</sst>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5">
    <numFmt numFmtId="164" formatCode="#,##0.000000000000000"/>
    <numFmt numFmtId="165" formatCode="#,##0.000000"/>
    <numFmt numFmtId="166" formatCode="#,##0.0000"/>
    <numFmt numFmtId="167" formatCode="#,##0.00000000"/>
    <numFmt numFmtId="168" formatCode="0.00000000"/>
  </numFmts>
  <fonts count="11" x14ac:knownFonts="1"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10"/>
      <color theme="1"/>
      <name val="Calibri"/>
      <family val="2"/>
      <charset val="238"/>
      <scheme val="minor"/>
    </font>
    <font>
      <b/>
      <sz val="10"/>
      <color theme="1"/>
      <name val="Calibri"/>
      <family val="2"/>
      <charset val="238"/>
      <scheme val="minor"/>
    </font>
    <font>
      <sz val="11"/>
      <name val="Arial CE"/>
      <charset val="238"/>
    </font>
    <font>
      <vertAlign val="subscript"/>
      <sz val="11"/>
      <name val="Arial CE"/>
      <family val="2"/>
      <charset val="238"/>
    </font>
    <font>
      <b/>
      <sz val="11"/>
      <name val="Arial CE"/>
      <family val="2"/>
      <charset val="238"/>
    </font>
    <font>
      <b/>
      <sz val="18"/>
      <color theme="1"/>
      <name val="Calibri"/>
      <family val="2"/>
      <charset val="238"/>
      <scheme val="minor"/>
    </font>
    <font>
      <sz val="11"/>
      <color theme="0"/>
      <name val="Calibri"/>
      <family val="2"/>
      <charset val="238"/>
      <scheme val="minor"/>
    </font>
    <font>
      <sz val="10"/>
      <color theme="0"/>
      <name val="Calibri"/>
      <family val="2"/>
      <charset val="238"/>
      <scheme val="minor"/>
    </font>
    <font>
      <sz val="14"/>
      <color rgb="FF000000"/>
      <name val="Calibri"/>
      <family val="2"/>
      <charset val="238"/>
    </font>
  </fonts>
  <fills count="12">
    <fill>
      <patternFill patternType="none"/>
    </fill>
    <fill>
      <patternFill patternType="gray125"/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35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rgb="FFFFC000"/>
        <bgColor indexed="64"/>
      </patternFill>
    </fill>
  </fills>
  <borders count="3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double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double">
        <color indexed="64"/>
      </left>
      <right/>
      <top style="double">
        <color indexed="64"/>
      </top>
      <bottom style="double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double">
        <color indexed="64"/>
      </left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0" fontId="4" fillId="0" borderId="0"/>
  </cellStyleXfs>
  <cellXfs count="170">
    <xf numFmtId="0" fontId="0" fillId="0" borderId="0" xfId="0"/>
    <xf numFmtId="0" fontId="0" fillId="0" borderId="0" xfId="0" applyAlignment="1">
      <alignment horizontal="center" vertical="center"/>
    </xf>
    <xf numFmtId="164" fontId="4" fillId="0" borderId="0" xfId="1" applyNumberFormat="1"/>
    <xf numFmtId="0" fontId="4" fillId="0" borderId="0" xfId="1"/>
    <xf numFmtId="0" fontId="4" fillId="0" borderId="0" xfId="1" applyNumberFormat="1" applyProtection="1">
      <protection locked="0"/>
    </xf>
    <xf numFmtId="0" fontId="4" fillId="0" borderId="0" xfId="1" applyNumberFormat="1"/>
    <xf numFmtId="165" fontId="4" fillId="0" borderId="1" xfId="1" applyNumberFormat="1" applyBorder="1"/>
    <xf numFmtId="164" fontId="4" fillId="0" borderId="1" xfId="1" applyNumberFormat="1" applyBorder="1"/>
    <xf numFmtId="0" fontId="4" fillId="2" borderId="0" xfId="1" applyFill="1" applyBorder="1"/>
    <xf numFmtId="0" fontId="4" fillId="3" borderId="0" xfId="1" applyFill="1" applyBorder="1"/>
    <xf numFmtId="0" fontId="4" fillId="0" borderId="0" xfId="1" applyFill="1"/>
    <xf numFmtId="164" fontId="4" fillId="0" borderId="0" xfId="1" applyNumberFormat="1" applyFill="1"/>
    <xf numFmtId="0" fontId="4" fillId="4" borderId="0" xfId="1" applyFill="1" applyBorder="1"/>
    <xf numFmtId="0" fontId="4" fillId="5" borderId="0" xfId="1" applyFill="1" applyBorder="1"/>
    <xf numFmtId="0" fontId="4" fillId="2" borderId="13" xfId="1" applyFill="1" applyBorder="1"/>
    <xf numFmtId="0" fontId="4" fillId="3" borderId="13" xfId="1" applyFill="1" applyBorder="1"/>
    <xf numFmtId="0" fontId="4" fillId="4" borderId="13" xfId="1" applyFill="1" applyBorder="1"/>
    <xf numFmtId="0" fontId="4" fillId="5" borderId="13" xfId="1" applyFill="1" applyBorder="1"/>
    <xf numFmtId="164" fontId="4" fillId="2" borderId="0" xfId="1" applyNumberFormat="1" applyFill="1"/>
    <xf numFmtId="0" fontId="4" fillId="2" borderId="0" xfId="1" applyFill="1"/>
    <xf numFmtId="164" fontId="4" fillId="4" borderId="0" xfId="1" applyNumberFormat="1" applyFill="1"/>
    <xf numFmtId="166" fontId="4" fillId="2" borderId="14" xfId="1" applyNumberFormat="1" applyFill="1" applyBorder="1"/>
    <xf numFmtId="164" fontId="4" fillId="2" borderId="15" xfId="1" applyNumberFormat="1" applyFill="1" applyBorder="1"/>
    <xf numFmtId="166" fontId="4" fillId="4" borderId="16" xfId="1" applyNumberFormat="1" applyFill="1" applyBorder="1"/>
    <xf numFmtId="0" fontId="4" fillId="4" borderId="16" xfId="1" applyNumberFormat="1" applyFill="1" applyBorder="1"/>
    <xf numFmtId="164" fontId="4" fillId="4" borderId="13" xfId="1" applyNumberFormat="1" applyFill="1" applyBorder="1"/>
    <xf numFmtId="166" fontId="4" fillId="4" borderId="13" xfId="1" applyNumberFormat="1" applyFill="1" applyBorder="1"/>
    <xf numFmtId="164" fontId="4" fillId="2" borderId="17" xfId="1" applyNumberFormat="1" applyFill="1" applyBorder="1"/>
    <xf numFmtId="164" fontId="4" fillId="2" borderId="13" xfId="1" applyNumberFormat="1" applyFill="1" applyBorder="1"/>
    <xf numFmtId="164" fontId="4" fillId="2" borderId="18" xfId="1" applyNumberFormat="1" applyFill="1" applyBorder="1"/>
    <xf numFmtId="164" fontId="4" fillId="4" borderId="16" xfId="1" applyNumberFormat="1" applyFill="1" applyBorder="1"/>
    <xf numFmtId="164" fontId="4" fillId="4" borderId="13" xfId="1" applyNumberFormat="1" applyFill="1" applyBorder="1" applyAlignment="1">
      <alignment wrapText="1"/>
    </xf>
    <xf numFmtId="167" fontId="4" fillId="2" borderId="18" xfId="1" applyNumberFormat="1" applyFill="1" applyBorder="1"/>
    <xf numFmtId="167" fontId="4" fillId="2" borderId="13" xfId="1" applyNumberFormat="1" applyFill="1" applyBorder="1"/>
    <xf numFmtId="167" fontId="4" fillId="2" borderId="18" xfId="1" applyNumberFormat="1" applyFill="1" applyBorder="1" applyAlignment="1">
      <alignment horizontal="right"/>
    </xf>
    <xf numFmtId="167" fontId="4" fillId="4" borderId="16" xfId="1" applyNumberFormat="1" applyFill="1" applyBorder="1"/>
    <xf numFmtId="167" fontId="4" fillId="4" borderId="13" xfId="1" applyNumberFormat="1" applyFill="1" applyBorder="1"/>
    <xf numFmtId="164" fontId="4" fillId="4" borderId="13" xfId="1" applyNumberFormat="1" applyFill="1" applyBorder="1" applyAlignment="1">
      <alignment horizontal="center" wrapText="1"/>
    </xf>
    <xf numFmtId="0" fontId="4" fillId="2" borderId="18" xfId="1" applyNumberFormat="1" applyFill="1" applyBorder="1"/>
    <xf numFmtId="0" fontId="4" fillId="4" borderId="13" xfId="1" applyNumberFormat="1" applyFill="1" applyBorder="1"/>
    <xf numFmtId="0" fontId="4" fillId="2" borderId="19" xfId="1" applyFill="1" applyBorder="1"/>
    <xf numFmtId="0" fontId="4" fillId="4" borderId="19" xfId="1" applyFill="1" applyBorder="1"/>
    <xf numFmtId="164" fontId="4" fillId="4" borderId="20" xfId="1" applyNumberFormat="1" applyFill="1" applyBorder="1"/>
    <xf numFmtId="164" fontId="4" fillId="4" borderId="19" xfId="1" applyNumberFormat="1" applyFill="1" applyBorder="1"/>
    <xf numFmtId="0" fontId="4" fillId="2" borderId="18" xfId="1" applyFill="1" applyBorder="1"/>
    <xf numFmtId="0" fontId="4" fillId="2" borderId="14" xfId="1" applyFill="1" applyBorder="1"/>
    <xf numFmtId="165" fontId="4" fillId="2" borderId="16" xfId="1" applyNumberFormat="1" applyFill="1" applyBorder="1"/>
    <xf numFmtId="165" fontId="4" fillId="2" borderId="13" xfId="1" applyNumberFormat="1" applyFill="1" applyBorder="1"/>
    <xf numFmtId="0" fontId="4" fillId="4" borderId="18" xfId="1" applyFill="1" applyBorder="1"/>
    <xf numFmtId="0" fontId="4" fillId="4" borderId="14" xfId="1" applyFill="1" applyBorder="1"/>
    <xf numFmtId="164" fontId="4" fillId="4" borderId="21" xfId="1" applyNumberFormat="1" applyFill="1" applyBorder="1"/>
    <xf numFmtId="164" fontId="4" fillId="4" borderId="14" xfId="1" applyNumberFormat="1" applyFill="1" applyBorder="1"/>
    <xf numFmtId="165" fontId="4" fillId="2" borderId="20" xfId="1" applyNumberFormat="1" applyFill="1" applyBorder="1"/>
    <xf numFmtId="165" fontId="4" fillId="2" borderId="19" xfId="1" applyNumberFormat="1" applyFill="1" applyBorder="1"/>
    <xf numFmtId="164" fontId="4" fillId="2" borderId="22" xfId="1" applyNumberFormat="1" applyFill="1" applyBorder="1"/>
    <xf numFmtId="0" fontId="4" fillId="6" borderId="13" xfId="1" applyFill="1" applyBorder="1"/>
    <xf numFmtId="0" fontId="4" fillId="6" borderId="17" xfId="1" applyNumberFormat="1" applyFill="1" applyBorder="1" applyAlignment="1">
      <alignment horizontal="center"/>
    </xf>
    <xf numFmtId="0" fontId="4" fillId="6" borderId="13" xfId="1" applyNumberFormat="1" applyFill="1" applyBorder="1" applyAlignment="1">
      <alignment horizontal="center"/>
    </xf>
    <xf numFmtId="0" fontId="4" fillId="6" borderId="18" xfId="1" applyNumberFormat="1" applyFill="1" applyBorder="1" applyAlignment="1">
      <alignment horizontal="center"/>
    </xf>
    <xf numFmtId="0" fontId="4" fillId="7" borderId="13" xfId="1" applyFill="1" applyBorder="1"/>
    <xf numFmtId="0" fontId="4" fillId="7" borderId="17" xfId="1" applyFill="1" applyBorder="1"/>
    <xf numFmtId="0" fontId="4" fillId="7" borderId="23" xfId="1" applyNumberFormat="1" applyFill="1" applyBorder="1" applyAlignment="1">
      <alignment horizontal="center"/>
    </xf>
    <xf numFmtId="0" fontId="4" fillId="7" borderId="17" xfId="1" applyNumberFormat="1" applyFill="1" applyBorder="1" applyAlignment="1">
      <alignment horizontal="center"/>
    </xf>
    <xf numFmtId="0" fontId="4" fillId="7" borderId="13" xfId="1" applyNumberFormat="1" applyFill="1" applyBorder="1" applyAlignment="1">
      <alignment horizontal="left"/>
    </xf>
    <xf numFmtId="0" fontId="4" fillId="7" borderId="13" xfId="1" applyNumberFormat="1" applyFill="1" applyBorder="1" applyAlignment="1">
      <alignment horizontal="center"/>
    </xf>
    <xf numFmtId="0" fontId="4" fillId="7" borderId="16" xfId="1" applyNumberFormat="1" applyFill="1" applyBorder="1" applyAlignment="1">
      <alignment horizontal="center"/>
    </xf>
    <xf numFmtId="0" fontId="4" fillId="2" borderId="13" xfId="1" applyNumberFormat="1" applyFill="1" applyBorder="1" applyAlignment="1">
      <alignment horizontal="center"/>
    </xf>
    <xf numFmtId="0" fontId="4" fillId="2" borderId="18" xfId="1" applyNumberFormat="1" applyFill="1" applyBorder="1" applyAlignment="1">
      <alignment horizontal="center"/>
    </xf>
    <xf numFmtId="0" fontId="4" fillId="4" borderId="13" xfId="1" applyNumberFormat="1" applyFill="1" applyBorder="1" applyAlignment="1">
      <alignment horizontal="center"/>
    </xf>
    <xf numFmtId="0" fontId="4" fillId="4" borderId="16" xfId="1" applyNumberFormat="1" applyFill="1" applyBorder="1" applyAlignment="1">
      <alignment horizontal="center"/>
    </xf>
    <xf numFmtId="164" fontId="6" fillId="0" borderId="0" xfId="1" applyNumberFormat="1" applyFont="1" applyAlignment="1">
      <alignment horizontal="right"/>
    </xf>
    <xf numFmtId="164" fontId="6" fillId="0" borderId="0" xfId="1" applyNumberFormat="1" applyFont="1" applyAlignment="1">
      <alignment horizontal="center"/>
    </xf>
    <xf numFmtId="164" fontId="4" fillId="5" borderId="0" xfId="1" applyNumberFormat="1" applyFill="1"/>
    <xf numFmtId="166" fontId="4" fillId="3" borderId="24" xfId="1" applyNumberFormat="1" applyFill="1" applyBorder="1"/>
    <xf numFmtId="164" fontId="4" fillId="3" borderId="15" xfId="1" applyNumberFormat="1" applyFill="1" applyBorder="1"/>
    <xf numFmtId="166" fontId="4" fillId="5" borderId="16" xfId="1" applyNumberFormat="1" applyFill="1" applyBorder="1"/>
    <xf numFmtId="166" fontId="4" fillId="5" borderId="13" xfId="1" applyNumberFormat="1" applyFill="1" applyBorder="1"/>
    <xf numFmtId="164" fontId="4" fillId="5" borderId="13" xfId="1" applyNumberFormat="1" applyFill="1" applyBorder="1"/>
    <xf numFmtId="164" fontId="4" fillId="3" borderId="17" xfId="1" applyNumberFormat="1" applyFill="1" applyBorder="1"/>
    <xf numFmtId="164" fontId="4" fillId="3" borderId="18" xfId="1" applyNumberFormat="1" applyFill="1" applyBorder="1"/>
    <xf numFmtId="164" fontId="4" fillId="5" borderId="16" xfId="1" applyNumberFormat="1" applyFill="1" applyBorder="1"/>
    <xf numFmtId="164" fontId="4" fillId="3" borderId="13" xfId="1" applyNumberFormat="1" applyFill="1" applyBorder="1"/>
    <xf numFmtId="164" fontId="4" fillId="5" borderId="13" xfId="1" applyNumberFormat="1" applyFill="1" applyBorder="1" applyAlignment="1">
      <alignment wrapText="1"/>
    </xf>
    <xf numFmtId="167" fontId="4" fillId="3" borderId="18" xfId="1" applyNumberFormat="1" applyFill="1" applyBorder="1"/>
    <xf numFmtId="167" fontId="4" fillId="3" borderId="13" xfId="1" applyNumberFormat="1" applyFill="1" applyBorder="1"/>
    <xf numFmtId="167" fontId="4" fillId="3" borderId="18" xfId="1" applyNumberFormat="1" applyFill="1" applyBorder="1" applyAlignment="1">
      <alignment horizontal="right"/>
    </xf>
    <xf numFmtId="167" fontId="4" fillId="5" borderId="16" xfId="1" applyNumberFormat="1" applyFill="1" applyBorder="1"/>
    <xf numFmtId="167" fontId="4" fillId="5" borderId="13" xfId="1" applyNumberFormat="1" applyFill="1" applyBorder="1"/>
    <xf numFmtId="164" fontId="4" fillId="5" borderId="13" xfId="1" applyNumberFormat="1" applyFill="1" applyBorder="1" applyAlignment="1">
      <alignment horizontal="center" wrapText="1"/>
    </xf>
    <xf numFmtId="0" fontId="4" fillId="3" borderId="18" xfId="1" applyNumberFormat="1" applyFill="1" applyBorder="1"/>
    <xf numFmtId="0" fontId="4" fillId="5" borderId="16" xfId="1" applyNumberFormat="1" applyFill="1" applyBorder="1"/>
    <xf numFmtId="0" fontId="4" fillId="5" borderId="13" xfId="1" applyNumberFormat="1" applyFill="1" applyBorder="1"/>
    <xf numFmtId="0" fontId="4" fillId="3" borderId="19" xfId="1" applyFill="1" applyBorder="1"/>
    <xf numFmtId="0" fontId="4" fillId="5" borderId="19" xfId="1" applyFill="1" applyBorder="1"/>
    <xf numFmtId="164" fontId="4" fillId="5" borderId="20" xfId="1" applyNumberFormat="1" applyFill="1" applyBorder="1"/>
    <xf numFmtId="164" fontId="4" fillId="5" borderId="19" xfId="1" applyNumberFormat="1" applyFill="1" applyBorder="1"/>
    <xf numFmtId="0" fontId="4" fillId="3" borderId="18" xfId="1" applyFill="1" applyBorder="1"/>
    <xf numFmtId="165" fontId="4" fillId="3" borderId="14" xfId="1" applyNumberFormat="1" applyFill="1" applyBorder="1"/>
    <xf numFmtId="0" fontId="4" fillId="3" borderId="14" xfId="1" applyFill="1" applyBorder="1"/>
    <xf numFmtId="165" fontId="4" fillId="3" borderId="16" xfId="1" applyNumberFormat="1" applyFill="1" applyBorder="1"/>
    <xf numFmtId="165" fontId="4" fillId="3" borderId="13" xfId="1" applyNumberFormat="1" applyFill="1" applyBorder="1"/>
    <xf numFmtId="0" fontId="4" fillId="5" borderId="18" xfId="1" applyFill="1" applyBorder="1"/>
    <xf numFmtId="164" fontId="4" fillId="5" borderId="14" xfId="1" applyNumberFormat="1" applyFill="1" applyBorder="1"/>
    <xf numFmtId="165" fontId="4" fillId="3" borderId="20" xfId="1" applyNumberFormat="1" applyFill="1" applyBorder="1"/>
    <xf numFmtId="165" fontId="4" fillId="3" borderId="19" xfId="1" applyNumberFormat="1" applyFill="1" applyBorder="1"/>
    <xf numFmtId="164" fontId="4" fillId="3" borderId="22" xfId="1" applyNumberFormat="1" applyFill="1" applyBorder="1"/>
    <xf numFmtId="0" fontId="4" fillId="0" borderId="0" xfId="1" applyNumberFormat="1" applyAlignment="1">
      <alignment horizontal="center"/>
    </xf>
    <xf numFmtId="0" fontId="4" fillId="8" borderId="17" xfId="1" applyNumberFormat="1" applyFill="1" applyBorder="1" applyAlignment="1">
      <alignment horizontal="center"/>
    </xf>
    <xf numFmtId="0" fontId="4" fillId="8" borderId="13" xfId="1" applyNumberFormat="1" applyFill="1" applyBorder="1" applyAlignment="1">
      <alignment horizontal="center"/>
    </xf>
    <xf numFmtId="0" fontId="4" fillId="8" borderId="18" xfId="1" applyNumberFormat="1" applyFill="1" applyBorder="1" applyAlignment="1">
      <alignment horizontal="center"/>
    </xf>
    <xf numFmtId="0" fontId="4" fillId="4" borderId="17" xfId="1" applyFill="1" applyBorder="1"/>
    <xf numFmtId="0" fontId="4" fillId="4" borderId="23" xfId="1" applyNumberFormat="1" applyFill="1" applyBorder="1" applyAlignment="1">
      <alignment horizontal="center"/>
    </xf>
    <xf numFmtId="0" fontId="4" fillId="4" borderId="17" xfId="1" applyNumberFormat="1" applyFill="1" applyBorder="1" applyAlignment="1">
      <alignment horizontal="center"/>
    </xf>
    <xf numFmtId="0" fontId="4" fillId="4" borderId="13" xfId="1" applyNumberFormat="1" applyFill="1" applyBorder="1" applyAlignment="1">
      <alignment horizontal="left"/>
    </xf>
    <xf numFmtId="0" fontId="4" fillId="3" borderId="13" xfId="1" applyNumberFormat="1" applyFill="1" applyBorder="1" applyAlignment="1">
      <alignment horizontal="center"/>
    </xf>
    <xf numFmtId="0" fontId="4" fillId="3" borderId="18" xfId="1" applyNumberFormat="1" applyFill="1" applyBorder="1" applyAlignment="1">
      <alignment horizontal="center"/>
    </xf>
    <xf numFmtId="0" fontId="4" fillId="5" borderId="13" xfId="1" applyNumberFormat="1" applyFill="1" applyBorder="1" applyAlignment="1">
      <alignment horizontal="center"/>
    </xf>
    <xf numFmtId="0" fontId="4" fillId="5" borderId="16" xfId="1" applyNumberFormat="1" applyFill="1" applyBorder="1" applyAlignment="1">
      <alignment horizontal="center"/>
    </xf>
    <xf numFmtId="0" fontId="0" fillId="0" borderId="0" xfId="0" applyAlignment="1">
      <alignment horizontal="left"/>
    </xf>
    <xf numFmtId="0" fontId="0" fillId="0" borderId="0" xfId="0" applyAlignment="1"/>
    <xf numFmtId="168" fontId="0" fillId="0" borderId="25" xfId="0" applyNumberFormat="1" applyFill="1" applyBorder="1" applyAlignment="1">
      <alignment horizontal="right"/>
    </xf>
    <xf numFmtId="168" fontId="0" fillId="0" borderId="26" xfId="0" applyNumberFormat="1" applyFill="1" applyBorder="1" applyAlignment="1">
      <alignment horizontal="right"/>
    </xf>
    <xf numFmtId="168" fontId="0" fillId="0" borderId="29" xfId="0" applyNumberFormat="1" applyFill="1" applyBorder="1" applyAlignment="1">
      <alignment horizontal="right"/>
    </xf>
    <xf numFmtId="168" fontId="0" fillId="0" borderId="30" xfId="0" applyNumberFormat="1" applyFill="1" applyBorder="1" applyAlignment="1">
      <alignment horizontal="right"/>
    </xf>
    <xf numFmtId="168" fontId="0" fillId="0" borderId="27" xfId="0" applyNumberFormat="1" applyFill="1" applyBorder="1" applyAlignment="1">
      <alignment horizontal="right"/>
    </xf>
    <xf numFmtId="168" fontId="0" fillId="0" borderId="28" xfId="0" applyNumberFormat="1" applyFill="1" applyBorder="1" applyAlignment="1">
      <alignment horizontal="right"/>
    </xf>
    <xf numFmtId="0" fontId="0" fillId="9" borderId="5" xfId="0" applyFill="1" applyBorder="1"/>
    <xf numFmtId="0" fontId="0" fillId="9" borderId="6" xfId="0" applyFill="1" applyBorder="1"/>
    <xf numFmtId="0" fontId="0" fillId="9" borderId="7" xfId="0" applyFill="1" applyBorder="1"/>
    <xf numFmtId="0" fontId="0" fillId="9" borderId="8" xfId="0" applyFill="1" applyBorder="1"/>
    <xf numFmtId="0" fontId="0" fillId="9" borderId="9" xfId="0" applyFill="1" applyBorder="1"/>
    <xf numFmtId="0" fontId="0" fillId="9" borderId="0" xfId="0" applyFill="1" applyBorder="1" applyAlignment="1">
      <alignment horizontal="center"/>
    </xf>
    <xf numFmtId="0" fontId="0" fillId="9" borderId="0" xfId="0" applyFill="1" applyBorder="1" applyAlignment="1">
      <alignment horizontal="right" indent="1"/>
    </xf>
    <xf numFmtId="0" fontId="1" fillId="9" borderId="1" xfId="0" applyFont="1" applyFill="1" applyBorder="1" applyAlignment="1">
      <alignment horizontal="center"/>
    </xf>
    <xf numFmtId="0" fontId="9" fillId="9" borderId="9" xfId="0" applyFont="1" applyFill="1" applyBorder="1"/>
    <xf numFmtId="0" fontId="2" fillId="9" borderId="0" xfId="0" applyFont="1" applyFill="1" applyBorder="1"/>
    <xf numFmtId="0" fontId="0" fillId="9" borderId="0" xfId="0" applyFill="1" applyBorder="1"/>
    <xf numFmtId="0" fontId="8" fillId="9" borderId="9" xfId="0" applyFont="1" applyFill="1" applyBorder="1"/>
    <xf numFmtId="0" fontId="0" fillId="9" borderId="10" xfId="0" applyFill="1" applyBorder="1"/>
    <xf numFmtId="0" fontId="0" fillId="9" borderId="11" xfId="0" applyFill="1" applyBorder="1"/>
    <xf numFmtId="0" fontId="8" fillId="9" borderId="12" xfId="0" applyFont="1" applyFill="1" applyBorder="1"/>
    <xf numFmtId="0" fontId="0" fillId="9" borderId="27" xfId="0" applyFill="1" applyBorder="1" applyAlignment="1">
      <alignment horizontal="center"/>
    </xf>
    <xf numFmtId="0" fontId="0" fillId="9" borderId="28" xfId="0" applyFill="1" applyBorder="1" applyAlignment="1">
      <alignment horizontal="center"/>
    </xf>
    <xf numFmtId="0" fontId="0" fillId="9" borderId="0" xfId="0" applyFill="1" applyBorder="1" applyAlignment="1">
      <alignment horizontal="center" vertical="center"/>
    </xf>
    <xf numFmtId="0" fontId="0" fillId="9" borderId="31" xfId="0" applyFill="1" applyBorder="1" applyAlignment="1">
      <alignment horizontal="right" vertical="center"/>
    </xf>
    <xf numFmtId="168" fontId="0" fillId="9" borderId="26" xfId="0" applyNumberFormat="1" applyFill="1" applyBorder="1" applyAlignment="1">
      <alignment horizontal="right"/>
    </xf>
    <xf numFmtId="168" fontId="0" fillId="9" borderId="33" xfId="0" applyNumberFormat="1" applyFill="1" applyBorder="1" applyAlignment="1">
      <alignment horizontal="right"/>
    </xf>
    <xf numFmtId="0" fontId="0" fillId="9" borderId="35" xfId="0" applyFill="1" applyBorder="1" applyAlignment="1">
      <alignment horizontal="right" vertical="center"/>
    </xf>
    <xf numFmtId="168" fontId="0" fillId="9" borderId="30" xfId="0" applyNumberFormat="1" applyFill="1" applyBorder="1" applyAlignment="1">
      <alignment horizontal="right"/>
    </xf>
    <xf numFmtId="168" fontId="0" fillId="9" borderId="18" xfId="0" applyNumberFormat="1" applyFill="1" applyBorder="1" applyAlignment="1">
      <alignment horizontal="right"/>
    </xf>
    <xf numFmtId="0" fontId="0" fillId="9" borderId="32" xfId="0" applyFill="1" applyBorder="1" applyAlignment="1">
      <alignment horizontal="right" vertical="center"/>
    </xf>
    <xf numFmtId="168" fontId="0" fillId="9" borderId="28" xfId="0" applyNumberFormat="1" applyFill="1" applyBorder="1" applyAlignment="1">
      <alignment horizontal="right"/>
    </xf>
    <xf numFmtId="168" fontId="0" fillId="9" borderId="34" xfId="0" applyNumberFormat="1" applyFill="1" applyBorder="1" applyAlignment="1">
      <alignment horizontal="right"/>
    </xf>
    <xf numFmtId="0" fontId="0" fillId="9" borderId="12" xfId="0" applyFill="1" applyBorder="1"/>
    <xf numFmtId="0" fontId="0" fillId="10" borderId="0" xfId="0" applyFill="1"/>
    <xf numFmtId="168" fontId="0" fillId="0" borderId="36" xfId="0" applyNumberFormat="1" applyFill="1" applyBorder="1" applyAlignment="1">
      <alignment horizontal="right"/>
    </xf>
    <xf numFmtId="168" fontId="0" fillId="0" borderId="37" xfId="0" applyNumberFormat="1" applyFill="1" applyBorder="1" applyAlignment="1">
      <alignment horizontal="right"/>
    </xf>
    <xf numFmtId="168" fontId="0" fillId="9" borderId="38" xfId="0" applyNumberFormat="1" applyFill="1" applyBorder="1" applyAlignment="1">
      <alignment horizontal="right"/>
    </xf>
    <xf numFmtId="168" fontId="0" fillId="9" borderId="37" xfId="0" applyNumberFormat="1" applyFill="1" applyBorder="1" applyAlignment="1">
      <alignment horizontal="right"/>
    </xf>
    <xf numFmtId="0" fontId="7" fillId="10" borderId="0" xfId="0" applyFont="1" applyFill="1" applyAlignment="1">
      <alignment horizontal="center" vertical="center"/>
    </xf>
    <xf numFmtId="0" fontId="0" fillId="9" borderId="2" xfId="0" applyFill="1" applyBorder="1" applyAlignment="1">
      <alignment horizontal="center"/>
    </xf>
    <xf numFmtId="0" fontId="0" fillId="9" borderId="3" xfId="0" applyFill="1" applyBorder="1" applyAlignment="1">
      <alignment horizontal="center"/>
    </xf>
    <xf numFmtId="0" fontId="0" fillId="9" borderId="4" xfId="0" applyFill="1" applyBorder="1" applyAlignment="1">
      <alignment horizontal="center"/>
    </xf>
    <xf numFmtId="0" fontId="0" fillId="9" borderId="31" xfId="0" applyFill="1" applyBorder="1" applyAlignment="1">
      <alignment horizontal="center" vertical="center"/>
    </xf>
    <xf numFmtId="0" fontId="0" fillId="9" borderId="32" xfId="0" applyFill="1" applyBorder="1" applyAlignment="1">
      <alignment horizontal="center" vertical="center"/>
    </xf>
    <xf numFmtId="0" fontId="0" fillId="9" borderId="25" xfId="0" applyFill="1" applyBorder="1" applyAlignment="1">
      <alignment horizontal="center"/>
    </xf>
    <xf numFmtId="0" fontId="0" fillId="9" borderId="26" xfId="0" applyFill="1" applyBorder="1" applyAlignment="1">
      <alignment horizontal="center"/>
    </xf>
    <xf numFmtId="0" fontId="0" fillId="9" borderId="33" xfId="0" applyFill="1" applyBorder="1" applyAlignment="1">
      <alignment horizontal="center"/>
    </xf>
    <xf numFmtId="0" fontId="3" fillId="11" borderId="2" xfId="0" applyFont="1" applyFill="1" applyBorder="1" applyAlignment="1">
      <alignment horizontal="center"/>
    </xf>
    <xf numFmtId="0" fontId="3" fillId="11" borderId="4" xfId="0" applyFont="1" applyFill="1" applyBorder="1" applyAlignment="1">
      <alignment horizontal="center"/>
    </xf>
  </cellXfs>
  <cellStyles count="2">
    <cellStyle name="Normalny" xfId="0" builtinId="0"/>
    <cellStyle name="Normalny 2" xfId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66675</xdr:colOff>
          <xdr:row>1</xdr:row>
          <xdr:rowOff>28575</xdr:rowOff>
        </xdr:from>
        <xdr:to>
          <xdr:col>4</xdr:col>
          <xdr:colOff>828675</xdr:colOff>
          <xdr:row>3</xdr:row>
          <xdr:rowOff>0</xdr:rowOff>
        </xdr:to>
        <xdr:sp macro="" textlink="">
          <xdr:nvSpPr>
            <xdr:cNvPr id="3075" name="Button 3" hidden="1">
              <a:extLst>
                <a:ext uri="{63B3BB69-23CF-44E3-9099-C40C66FF867C}">
                  <a14:compatExt spid="_x0000_s307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400" b="0" i="0" u="none" strike="noStrike" baseline="0">
                  <a:solidFill>
                    <a:srgbClr val="000000"/>
                  </a:solidFill>
                  <a:latin typeface="Calibri"/>
                </a:rPr>
                <a:t>PRZELICZ WSPÓŁRZĘDNE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1057275</xdr:colOff>
          <xdr:row>1</xdr:row>
          <xdr:rowOff>28575</xdr:rowOff>
        </xdr:from>
        <xdr:to>
          <xdr:col>7</xdr:col>
          <xdr:colOff>9525</xdr:colOff>
          <xdr:row>3</xdr:row>
          <xdr:rowOff>0</xdr:rowOff>
        </xdr:to>
        <xdr:sp macro="" textlink="">
          <xdr:nvSpPr>
            <xdr:cNvPr id="3077" name="Button 5" hidden="1">
              <a:extLst>
                <a:ext uri="{63B3BB69-23CF-44E3-9099-C40C66FF867C}">
                  <a14:compatExt spid="_x0000_s307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400" b="0" i="0" u="none" strike="noStrike" baseline="0">
                  <a:solidFill>
                    <a:srgbClr val="000000"/>
                  </a:solidFill>
                  <a:latin typeface="Calibri"/>
                </a:rPr>
                <a:t>EKSPORTUJ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942975</xdr:colOff>
          <xdr:row>217</xdr:row>
          <xdr:rowOff>114300</xdr:rowOff>
        </xdr:from>
        <xdr:to>
          <xdr:col>8</xdr:col>
          <xdr:colOff>9525</xdr:colOff>
          <xdr:row>220</xdr:row>
          <xdr:rowOff>85725</xdr:rowOff>
        </xdr:to>
        <xdr:sp macro="" textlink="">
          <xdr:nvSpPr>
            <xdr:cNvPr id="3079" name="Button 7" hidden="1">
              <a:extLst>
                <a:ext uri="{63B3BB69-23CF-44E3-9099-C40C66FF867C}">
                  <a14:compatExt spid="_x0000_s3079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l-PL" sz="1400" b="0" i="0" u="none" strike="noStrike" baseline="0">
                  <a:solidFill>
                    <a:srgbClr val="000000"/>
                  </a:solidFill>
                  <a:latin typeface="Calibri"/>
                </a:rPr>
                <a:t>DO GÓRY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Pakiet 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1"/>
  <dimension ref="A1"/>
  <sheetViews>
    <sheetView workbookViewId="0">
      <selection activeCell="G11" sqref="G11"/>
    </sheetView>
  </sheetViews>
  <sheetFormatPr defaultColWidth="3.5703125" defaultRowHeight="15" x14ac:dyDescent="0.25"/>
  <sheetData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Arkusz2"/>
  <dimension ref="B1:H217"/>
  <sheetViews>
    <sheetView tabSelected="1" workbookViewId="0">
      <selection activeCell="C6" sqref="C6:G6"/>
    </sheetView>
  </sheetViews>
  <sheetFormatPr defaultRowHeight="15" x14ac:dyDescent="0.25"/>
  <cols>
    <col min="1" max="1" width="14.28515625" style="154" customWidth="1"/>
    <col min="2" max="2" width="1.42578125" style="154" customWidth="1"/>
    <col min="3" max="3" width="14.28515625" style="154" customWidth="1"/>
    <col min="4" max="7" width="21.42578125" style="154" customWidth="1"/>
    <col min="8" max="8" width="1.42578125" style="154" customWidth="1"/>
    <col min="9" max="16384" width="9.140625" style="154"/>
  </cols>
  <sheetData>
    <row r="1" spans="2:8" ht="7.5" customHeight="1" x14ac:dyDescent="0.25"/>
    <row r="2" spans="2:8" ht="7.5" customHeight="1" x14ac:dyDescent="0.25"/>
    <row r="3" spans="2:8" ht="37.5" customHeight="1" x14ac:dyDescent="0.25">
      <c r="C3" s="159"/>
      <c r="D3" s="159"/>
      <c r="E3" s="159"/>
      <c r="F3" s="159"/>
      <c r="G3" s="159"/>
    </row>
    <row r="4" spans="2:8" ht="7.5" customHeight="1" thickBot="1" x14ac:dyDescent="0.3"/>
    <row r="5" spans="2:8" ht="7.5" customHeight="1" thickBot="1" x14ac:dyDescent="0.3">
      <c r="B5" s="126"/>
      <c r="C5" s="127"/>
      <c r="D5" s="127"/>
      <c r="E5" s="127"/>
      <c r="F5" s="127"/>
      <c r="G5" s="127"/>
      <c r="H5" s="128"/>
    </row>
    <row r="6" spans="2:8" ht="15.75" thickBot="1" x14ac:dyDescent="0.3">
      <c r="B6" s="129"/>
      <c r="C6" s="160" t="s">
        <v>8</v>
      </c>
      <c r="D6" s="161"/>
      <c r="E6" s="161"/>
      <c r="F6" s="161"/>
      <c r="G6" s="162"/>
      <c r="H6" s="130"/>
    </row>
    <row r="7" spans="2:8" ht="7.5" customHeight="1" thickBot="1" x14ac:dyDescent="0.3">
      <c r="B7" s="129"/>
      <c r="C7" s="131"/>
      <c r="D7" s="131"/>
      <c r="E7" s="131"/>
      <c r="F7" s="131"/>
      <c r="G7" s="131"/>
      <c r="H7" s="130"/>
    </row>
    <row r="8" spans="2:8" ht="15.75" thickBot="1" x14ac:dyDescent="0.3">
      <c r="B8" s="129"/>
      <c r="C8" s="132" t="s">
        <v>9</v>
      </c>
      <c r="D8" s="168" t="s">
        <v>2</v>
      </c>
      <c r="E8" s="169"/>
      <c r="F8" s="132" t="s">
        <v>15</v>
      </c>
      <c r="G8" s="133">
        <f>VLOOKUP(D8,konfig!B4:E14,2)</f>
        <v>2180</v>
      </c>
      <c r="H8" s="134">
        <f>VLOOKUP(D8,konfig!B4:E14,3)</f>
        <v>8</v>
      </c>
    </row>
    <row r="9" spans="2:8" ht="7.5" customHeight="1" thickBot="1" x14ac:dyDescent="0.3">
      <c r="B9" s="129"/>
      <c r="C9" s="132"/>
      <c r="D9" s="135"/>
      <c r="E9" s="136"/>
      <c r="F9" s="132"/>
      <c r="G9" s="136"/>
      <c r="H9" s="137">
        <f>VLOOKUP(D8,konfig!B4:E14,4)</f>
        <v>0</v>
      </c>
    </row>
    <row r="10" spans="2:8" ht="15.75" thickBot="1" x14ac:dyDescent="0.3">
      <c r="B10" s="129"/>
      <c r="C10" s="132" t="s">
        <v>10</v>
      </c>
      <c r="D10" s="168" t="s">
        <v>153</v>
      </c>
      <c r="E10" s="169"/>
      <c r="F10" s="132" t="s">
        <v>15</v>
      </c>
      <c r="G10" s="133">
        <f>VLOOKUP(D10,konfig!B4:E14,2)</f>
        <v>4326</v>
      </c>
      <c r="H10" s="137">
        <f>VLOOKUP(D10,konfig!B4:E14,3)</f>
        <v>10</v>
      </c>
    </row>
    <row r="11" spans="2:8" ht="7.5" customHeight="1" thickBot="1" x14ac:dyDescent="0.3">
      <c r="B11" s="138"/>
      <c r="C11" s="139"/>
      <c r="D11" s="139"/>
      <c r="E11" s="139"/>
      <c r="F11" s="139"/>
      <c r="G11" s="139"/>
      <c r="H11" s="140">
        <f>VLOOKUP(D10,konfig!B4:E14,4)</f>
        <v>0</v>
      </c>
    </row>
    <row r="12" spans="2:8" ht="7.5" customHeight="1" thickBot="1" x14ac:dyDescent="0.3"/>
    <row r="13" spans="2:8" ht="7.5" customHeight="1" thickBot="1" x14ac:dyDescent="0.3">
      <c r="B13" s="126"/>
      <c r="C13" s="127"/>
      <c r="D13" s="127"/>
      <c r="E13" s="127"/>
      <c r="F13" s="127"/>
      <c r="G13" s="127"/>
      <c r="H13" s="128"/>
    </row>
    <row r="14" spans="2:8" x14ac:dyDescent="0.25">
      <c r="B14" s="129"/>
      <c r="C14" s="163" t="s">
        <v>11</v>
      </c>
      <c r="D14" s="165" t="s">
        <v>9</v>
      </c>
      <c r="E14" s="166"/>
      <c r="F14" s="167" t="s">
        <v>12</v>
      </c>
      <c r="G14" s="166"/>
      <c r="H14" s="130"/>
    </row>
    <row r="15" spans="2:8" ht="15.75" thickBot="1" x14ac:dyDescent="0.3">
      <c r="B15" s="129"/>
      <c r="C15" s="164"/>
      <c r="D15" s="141" t="s">
        <v>154</v>
      </c>
      <c r="E15" s="142" t="s">
        <v>155</v>
      </c>
      <c r="F15" s="141" t="s">
        <v>154</v>
      </c>
      <c r="G15" s="142" t="s">
        <v>155</v>
      </c>
      <c r="H15" s="130"/>
    </row>
    <row r="16" spans="2:8" ht="7.5" customHeight="1" thickBot="1" x14ac:dyDescent="0.3">
      <c r="B16" s="129"/>
      <c r="C16" s="143"/>
      <c r="D16" s="131"/>
      <c r="E16" s="131"/>
      <c r="F16" s="131"/>
      <c r="G16" s="131"/>
      <c r="H16" s="130"/>
    </row>
    <row r="17" spans="2:8" x14ac:dyDescent="0.25">
      <c r="B17" s="129"/>
      <c r="C17" s="144">
        <v>1</v>
      </c>
      <c r="D17" s="120"/>
      <c r="E17" s="121"/>
      <c r="F17" s="146"/>
      <c r="G17" s="145"/>
      <c r="H17" s="130"/>
    </row>
    <row r="18" spans="2:8" x14ac:dyDescent="0.25">
      <c r="B18" s="129"/>
      <c r="C18" s="147">
        <v>2</v>
      </c>
      <c r="D18" s="122"/>
      <c r="E18" s="123"/>
      <c r="F18" s="149"/>
      <c r="G18" s="148"/>
      <c r="H18" s="130"/>
    </row>
    <row r="19" spans="2:8" x14ac:dyDescent="0.25">
      <c r="B19" s="129"/>
      <c r="C19" s="147">
        <v>3</v>
      </c>
      <c r="D19" s="122"/>
      <c r="E19" s="123"/>
      <c r="F19" s="149"/>
      <c r="G19" s="148"/>
      <c r="H19" s="130"/>
    </row>
    <row r="20" spans="2:8" x14ac:dyDescent="0.25">
      <c r="B20" s="129"/>
      <c r="C20" s="147">
        <v>4</v>
      </c>
      <c r="D20" s="122"/>
      <c r="E20" s="123"/>
      <c r="F20" s="149"/>
      <c r="G20" s="148"/>
      <c r="H20" s="130"/>
    </row>
    <row r="21" spans="2:8" x14ac:dyDescent="0.25">
      <c r="B21" s="129"/>
      <c r="C21" s="147">
        <v>5</v>
      </c>
      <c r="D21" s="122"/>
      <c r="E21" s="123"/>
      <c r="F21" s="149"/>
      <c r="G21" s="148"/>
      <c r="H21" s="130"/>
    </row>
    <row r="22" spans="2:8" x14ac:dyDescent="0.25">
      <c r="B22" s="129"/>
      <c r="C22" s="147">
        <v>6</v>
      </c>
      <c r="D22" s="122"/>
      <c r="E22" s="123"/>
      <c r="F22" s="149"/>
      <c r="G22" s="148"/>
      <c r="H22" s="130"/>
    </row>
    <row r="23" spans="2:8" x14ac:dyDescent="0.25">
      <c r="B23" s="129"/>
      <c r="C23" s="147">
        <v>7</v>
      </c>
      <c r="D23" s="122"/>
      <c r="E23" s="123"/>
      <c r="F23" s="149"/>
      <c r="G23" s="148"/>
      <c r="H23" s="130"/>
    </row>
    <row r="24" spans="2:8" x14ac:dyDescent="0.25">
      <c r="B24" s="129"/>
      <c r="C24" s="147">
        <v>8</v>
      </c>
      <c r="D24" s="122"/>
      <c r="E24" s="123"/>
      <c r="F24" s="149"/>
      <c r="G24" s="148"/>
      <c r="H24" s="130"/>
    </row>
    <row r="25" spans="2:8" x14ac:dyDescent="0.25">
      <c r="B25" s="129"/>
      <c r="C25" s="147">
        <v>9</v>
      </c>
      <c r="D25" s="122"/>
      <c r="E25" s="123"/>
      <c r="F25" s="149"/>
      <c r="G25" s="148"/>
      <c r="H25" s="130"/>
    </row>
    <row r="26" spans="2:8" x14ac:dyDescent="0.25">
      <c r="B26" s="129"/>
      <c r="C26" s="147">
        <v>10</v>
      </c>
      <c r="D26" s="122"/>
      <c r="E26" s="123"/>
      <c r="F26" s="149"/>
      <c r="G26" s="148"/>
      <c r="H26" s="130"/>
    </row>
    <row r="27" spans="2:8" x14ac:dyDescent="0.25">
      <c r="B27" s="129"/>
      <c r="C27" s="147">
        <v>11</v>
      </c>
      <c r="D27" s="122"/>
      <c r="E27" s="123"/>
      <c r="F27" s="149"/>
      <c r="G27" s="148"/>
      <c r="H27" s="130"/>
    </row>
    <row r="28" spans="2:8" x14ac:dyDescent="0.25">
      <c r="B28" s="129"/>
      <c r="C28" s="147">
        <v>12</v>
      </c>
      <c r="D28" s="122"/>
      <c r="E28" s="123"/>
      <c r="F28" s="149"/>
      <c r="G28" s="148"/>
      <c r="H28" s="130"/>
    </row>
    <row r="29" spans="2:8" x14ac:dyDescent="0.25">
      <c r="B29" s="129"/>
      <c r="C29" s="147">
        <v>13</v>
      </c>
      <c r="D29" s="122"/>
      <c r="E29" s="123"/>
      <c r="F29" s="149"/>
      <c r="G29" s="148"/>
      <c r="H29" s="130"/>
    </row>
    <row r="30" spans="2:8" x14ac:dyDescent="0.25">
      <c r="B30" s="129"/>
      <c r="C30" s="147">
        <v>14</v>
      </c>
      <c r="D30" s="122"/>
      <c r="E30" s="123"/>
      <c r="F30" s="149"/>
      <c r="G30" s="148"/>
      <c r="H30" s="130"/>
    </row>
    <row r="31" spans="2:8" x14ac:dyDescent="0.25">
      <c r="B31" s="129"/>
      <c r="C31" s="147">
        <v>15</v>
      </c>
      <c r="D31" s="122"/>
      <c r="E31" s="123"/>
      <c r="F31" s="149"/>
      <c r="G31" s="148"/>
      <c r="H31" s="130"/>
    </row>
    <row r="32" spans="2:8" x14ac:dyDescent="0.25">
      <c r="B32" s="129"/>
      <c r="C32" s="147">
        <v>16</v>
      </c>
      <c r="D32" s="122"/>
      <c r="E32" s="123"/>
      <c r="F32" s="149"/>
      <c r="G32" s="148"/>
      <c r="H32" s="130"/>
    </row>
    <row r="33" spans="2:8" x14ac:dyDescent="0.25">
      <c r="B33" s="129"/>
      <c r="C33" s="147">
        <v>17</v>
      </c>
      <c r="D33" s="122"/>
      <c r="E33" s="123"/>
      <c r="F33" s="149"/>
      <c r="G33" s="148"/>
      <c r="H33" s="130"/>
    </row>
    <row r="34" spans="2:8" x14ac:dyDescent="0.25">
      <c r="B34" s="129"/>
      <c r="C34" s="147">
        <v>18</v>
      </c>
      <c r="D34" s="122"/>
      <c r="E34" s="123"/>
      <c r="F34" s="149"/>
      <c r="G34" s="148"/>
      <c r="H34" s="130"/>
    </row>
    <row r="35" spans="2:8" x14ac:dyDescent="0.25">
      <c r="B35" s="129"/>
      <c r="C35" s="147">
        <v>19</v>
      </c>
      <c r="D35" s="122"/>
      <c r="E35" s="123"/>
      <c r="F35" s="149"/>
      <c r="G35" s="148"/>
      <c r="H35" s="130"/>
    </row>
    <row r="36" spans="2:8" x14ac:dyDescent="0.25">
      <c r="B36" s="129"/>
      <c r="C36" s="147">
        <v>20</v>
      </c>
      <c r="D36" s="122"/>
      <c r="E36" s="123"/>
      <c r="F36" s="149"/>
      <c r="G36" s="148"/>
      <c r="H36" s="130"/>
    </row>
    <row r="37" spans="2:8" x14ac:dyDescent="0.25">
      <c r="B37" s="129"/>
      <c r="C37" s="147">
        <v>21</v>
      </c>
      <c r="D37" s="122"/>
      <c r="E37" s="123"/>
      <c r="F37" s="149"/>
      <c r="G37" s="148"/>
      <c r="H37" s="130"/>
    </row>
    <row r="38" spans="2:8" x14ac:dyDescent="0.25">
      <c r="B38" s="129"/>
      <c r="C38" s="147">
        <v>22</v>
      </c>
      <c r="D38" s="122"/>
      <c r="E38" s="123"/>
      <c r="F38" s="149"/>
      <c r="G38" s="148"/>
      <c r="H38" s="130"/>
    </row>
    <row r="39" spans="2:8" x14ac:dyDescent="0.25">
      <c r="B39" s="129"/>
      <c r="C39" s="147">
        <v>23</v>
      </c>
      <c r="D39" s="122"/>
      <c r="E39" s="123"/>
      <c r="F39" s="149"/>
      <c r="G39" s="148"/>
      <c r="H39" s="130"/>
    </row>
    <row r="40" spans="2:8" x14ac:dyDescent="0.25">
      <c r="B40" s="129"/>
      <c r="C40" s="147">
        <v>24</v>
      </c>
      <c r="D40" s="122"/>
      <c r="E40" s="123"/>
      <c r="F40" s="149"/>
      <c r="G40" s="148"/>
      <c r="H40" s="130"/>
    </row>
    <row r="41" spans="2:8" x14ac:dyDescent="0.25">
      <c r="B41" s="129"/>
      <c r="C41" s="147">
        <v>25</v>
      </c>
      <c r="D41" s="122"/>
      <c r="E41" s="123"/>
      <c r="F41" s="149"/>
      <c r="G41" s="148"/>
      <c r="H41" s="130"/>
    </row>
    <row r="42" spans="2:8" x14ac:dyDescent="0.25">
      <c r="B42" s="129"/>
      <c r="C42" s="147">
        <v>26</v>
      </c>
      <c r="D42" s="122"/>
      <c r="E42" s="123"/>
      <c r="F42" s="149"/>
      <c r="G42" s="148"/>
      <c r="H42" s="130"/>
    </row>
    <row r="43" spans="2:8" x14ac:dyDescent="0.25">
      <c r="B43" s="129"/>
      <c r="C43" s="147">
        <v>27</v>
      </c>
      <c r="D43" s="122"/>
      <c r="E43" s="123"/>
      <c r="F43" s="149"/>
      <c r="G43" s="148"/>
      <c r="H43" s="130"/>
    </row>
    <row r="44" spans="2:8" x14ac:dyDescent="0.25">
      <c r="B44" s="129"/>
      <c r="C44" s="147">
        <v>28</v>
      </c>
      <c r="D44" s="122"/>
      <c r="E44" s="123"/>
      <c r="F44" s="149"/>
      <c r="G44" s="148"/>
      <c r="H44" s="130"/>
    </row>
    <row r="45" spans="2:8" x14ac:dyDescent="0.25">
      <c r="B45" s="129"/>
      <c r="C45" s="147">
        <v>29</v>
      </c>
      <c r="D45" s="122"/>
      <c r="E45" s="123"/>
      <c r="F45" s="149"/>
      <c r="G45" s="148"/>
      <c r="H45" s="130"/>
    </row>
    <row r="46" spans="2:8" x14ac:dyDescent="0.25">
      <c r="B46" s="129"/>
      <c r="C46" s="147">
        <v>30</v>
      </c>
      <c r="D46" s="122"/>
      <c r="E46" s="123"/>
      <c r="F46" s="149"/>
      <c r="G46" s="148"/>
      <c r="H46" s="130"/>
    </row>
    <row r="47" spans="2:8" x14ac:dyDescent="0.25">
      <c r="B47" s="129"/>
      <c r="C47" s="147">
        <v>31</v>
      </c>
      <c r="D47" s="122"/>
      <c r="E47" s="123"/>
      <c r="F47" s="149"/>
      <c r="G47" s="148"/>
      <c r="H47" s="130"/>
    </row>
    <row r="48" spans="2:8" x14ac:dyDescent="0.25">
      <c r="B48" s="129"/>
      <c r="C48" s="147">
        <v>32</v>
      </c>
      <c r="D48" s="122"/>
      <c r="E48" s="123"/>
      <c r="F48" s="149"/>
      <c r="G48" s="148"/>
      <c r="H48" s="130"/>
    </row>
    <row r="49" spans="2:8" x14ac:dyDescent="0.25">
      <c r="B49" s="129"/>
      <c r="C49" s="147">
        <v>33</v>
      </c>
      <c r="D49" s="122"/>
      <c r="E49" s="123"/>
      <c r="F49" s="149"/>
      <c r="G49" s="148"/>
      <c r="H49" s="130"/>
    </row>
    <row r="50" spans="2:8" x14ac:dyDescent="0.25">
      <c r="B50" s="129"/>
      <c r="C50" s="147">
        <v>34</v>
      </c>
      <c r="D50" s="122"/>
      <c r="E50" s="123"/>
      <c r="F50" s="149"/>
      <c r="G50" s="148"/>
      <c r="H50" s="130"/>
    </row>
    <row r="51" spans="2:8" x14ac:dyDescent="0.25">
      <c r="B51" s="129"/>
      <c r="C51" s="147">
        <v>35</v>
      </c>
      <c r="D51" s="122"/>
      <c r="E51" s="123"/>
      <c r="F51" s="149"/>
      <c r="G51" s="148"/>
      <c r="H51" s="130"/>
    </row>
    <row r="52" spans="2:8" x14ac:dyDescent="0.25">
      <c r="B52" s="129"/>
      <c r="C52" s="147">
        <v>36</v>
      </c>
      <c r="D52" s="122"/>
      <c r="E52" s="123"/>
      <c r="F52" s="149"/>
      <c r="G52" s="148"/>
      <c r="H52" s="130"/>
    </row>
    <row r="53" spans="2:8" x14ac:dyDescent="0.25">
      <c r="B53" s="129"/>
      <c r="C53" s="147">
        <v>37</v>
      </c>
      <c r="D53" s="122"/>
      <c r="E53" s="123"/>
      <c r="F53" s="149"/>
      <c r="G53" s="148"/>
      <c r="H53" s="130"/>
    </row>
    <row r="54" spans="2:8" x14ac:dyDescent="0.25">
      <c r="B54" s="129"/>
      <c r="C54" s="147">
        <v>38</v>
      </c>
      <c r="D54" s="122"/>
      <c r="E54" s="123"/>
      <c r="F54" s="149"/>
      <c r="G54" s="148"/>
      <c r="H54" s="130"/>
    </row>
    <row r="55" spans="2:8" x14ac:dyDescent="0.25">
      <c r="B55" s="129"/>
      <c r="C55" s="147">
        <v>39</v>
      </c>
      <c r="D55" s="122"/>
      <c r="E55" s="123"/>
      <c r="F55" s="149"/>
      <c r="G55" s="148"/>
      <c r="H55" s="130"/>
    </row>
    <row r="56" spans="2:8" x14ac:dyDescent="0.25">
      <c r="B56" s="129"/>
      <c r="C56" s="147">
        <v>40</v>
      </c>
      <c r="D56" s="122"/>
      <c r="E56" s="123"/>
      <c r="F56" s="149"/>
      <c r="G56" s="148"/>
      <c r="H56" s="130"/>
    </row>
    <row r="57" spans="2:8" x14ac:dyDescent="0.25">
      <c r="B57" s="129"/>
      <c r="C57" s="147">
        <v>41</v>
      </c>
      <c r="D57" s="122"/>
      <c r="E57" s="123"/>
      <c r="F57" s="149"/>
      <c r="G57" s="148"/>
      <c r="H57" s="130"/>
    </row>
    <row r="58" spans="2:8" x14ac:dyDescent="0.25">
      <c r="B58" s="129"/>
      <c r="C58" s="147">
        <v>42</v>
      </c>
      <c r="D58" s="122"/>
      <c r="E58" s="123"/>
      <c r="F58" s="149"/>
      <c r="G58" s="148"/>
      <c r="H58" s="130"/>
    </row>
    <row r="59" spans="2:8" x14ac:dyDescent="0.25">
      <c r="B59" s="129"/>
      <c r="C59" s="147">
        <v>43</v>
      </c>
      <c r="D59" s="122"/>
      <c r="E59" s="123"/>
      <c r="F59" s="149"/>
      <c r="G59" s="148"/>
      <c r="H59" s="130"/>
    </row>
    <row r="60" spans="2:8" x14ac:dyDescent="0.25">
      <c r="B60" s="129"/>
      <c r="C60" s="147">
        <v>44</v>
      </c>
      <c r="D60" s="122"/>
      <c r="E60" s="123"/>
      <c r="F60" s="149"/>
      <c r="G60" s="148"/>
      <c r="H60" s="130"/>
    </row>
    <row r="61" spans="2:8" x14ac:dyDescent="0.25">
      <c r="B61" s="129"/>
      <c r="C61" s="147">
        <v>45</v>
      </c>
      <c r="D61" s="122"/>
      <c r="E61" s="123"/>
      <c r="F61" s="149"/>
      <c r="G61" s="148"/>
      <c r="H61" s="130"/>
    </row>
    <row r="62" spans="2:8" x14ac:dyDescent="0.25">
      <c r="B62" s="129"/>
      <c r="C62" s="147">
        <v>46</v>
      </c>
      <c r="D62" s="122"/>
      <c r="E62" s="123"/>
      <c r="F62" s="149"/>
      <c r="G62" s="148"/>
      <c r="H62" s="130"/>
    </row>
    <row r="63" spans="2:8" x14ac:dyDescent="0.25">
      <c r="B63" s="129"/>
      <c r="C63" s="147">
        <v>47</v>
      </c>
      <c r="D63" s="122"/>
      <c r="E63" s="123"/>
      <c r="F63" s="149"/>
      <c r="G63" s="148"/>
      <c r="H63" s="130"/>
    </row>
    <row r="64" spans="2:8" x14ac:dyDescent="0.25">
      <c r="B64" s="129"/>
      <c r="C64" s="147">
        <v>48</v>
      </c>
      <c r="D64" s="122"/>
      <c r="E64" s="123"/>
      <c r="F64" s="149"/>
      <c r="G64" s="148"/>
      <c r="H64" s="130"/>
    </row>
    <row r="65" spans="2:8" x14ac:dyDescent="0.25">
      <c r="B65" s="129"/>
      <c r="C65" s="147">
        <v>49</v>
      </c>
      <c r="D65" s="122"/>
      <c r="E65" s="123"/>
      <c r="F65" s="149"/>
      <c r="G65" s="148"/>
      <c r="H65" s="130"/>
    </row>
    <row r="66" spans="2:8" x14ac:dyDescent="0.25">
      <c r="B66" s="129"/>
      <c r="C66" s="147">
        <v>50</v>
      </c>
      <c r="D66" s="122"/>
      <c r="E66" s="123"/>
      <c r="F66" s="149"/>
      <c r="G66" s="148"/>
      <c r="H66" s="130"/>
    </row>
    <row r="67" spans="2:8" x14ac:dyDescent="0.25">
      <c r="B67" s="129"/>
      <c r="C67" s="147">
        <v>51</v>
      </c>
      <c r="D67" s="122"/>
      <c r="E67" s="123"/>
      <c r="F67" s="149"/>
      <c r="G67" s="148"/>
      <c r="H67" s="130"/>
    </row>
    <row r="68" spans="2:8" x14ac:dyDescent="0.25">
      <c r="B68" s="129"/>
      <c r="C68" s="147">
        <v>52</v>
      </c>
      <c r="D68" s="122"/>
      <c r="E68" s="123"/>
      <c r="F68" s="149"/>
      <c r="G68" s="148"/>
      <c r="H68" s="130"/>
    </row>
    <row r="69" spans="2:8" x14ac:dyDescent="0.25">
      <c r="B69" s="129"/>
      <c r="C69" s="147">
        <v>53</v>
      </c>
      <c r="D69" s="122"/>
      <c r="E69" s="123"/>
      <c r="F69" s="149"/>
      <c r="G69" s="148"/>
      <c r="H69" s="130"/>
    </row>
    <row r="70" spans="2:8" x14ac:dyDescent="0.25">
      <c r="B70" s="129"/>
      <c r="C70" s="147">
        <v>54</v>
      </c>
      <c r="D70" s="122"/>
      <c r="E70" s="123"/>
      <c r="F70" s="149"/>
      <c r="G70" s="148"/>
      <c r="H70" s="130"/>
    </row>
    <row r="71" spans="2:8" x14ac:dyDescent="0.25">
      <c r="B71" s="129"/>
      <c r="C71" s="147">
        <v>55</v>
      </c>
      <c r="D71" s="122"/>
      <c r="E71" s="123"/>
      <c r="F71" s="149"/>
      <c r="G71" s="148"/>
      <c r="H71" s="130"/>
    </row>
    <row r="72" spans="2:8" x14ac:dyDescent="0.25">
      <c r="B72" s="129"/>
      <c r="C72" s="147">
        <v>56</v>
      </c>
      <c r="D72" s="122"/>
      <c r="E72" s="123"/>
      <c r="F72" s="149"/>
      <c r="G72" s="148"/>
      <c r="H72" s="130"/>
    </row>
    <row r="73" spans="2:8" x14ac:dyDescent="0.25">
      <c r="B73" s="129"/>
      <c r="C73" s="147">
        <v>57</v>
      </c>
      <c r="D73" s="122"/>
      <c r="E73" s="123"/>
      <c r="F73" s="149"/>
      <c r="G73" s="148"/>
      <c r="H73" s="130"/>
    </row>
    <row r="74" spans="2:8" x14ac:dyDescent="0.25">
      <c r="B74" s="129"/>
      <c r="C74" s="147">
        <v>58</v>
      </c>
      <c r="D74" s="122"/>
      <c r="E74" s="123"/>
      <c r="F74" s="149"/>
      <c r="G74" s="148"/>
      <c r="H74" s="130"/>
    </row>
    <row r="75" spans="2:8" x14ac:dyDescent="0.25">
      <c r="B75" s="129"/>
      <c r="C75" s="147">
        <v>59</v>
      </c>
      <c r="D75" s="122"/>
      <c r="E75" s="123"/>
      <c r="F75" s="149"/>
      <c r="G75" s="148"/>
      <c r="H75" s="130"/>
    </row>
    <row r="76" spans="2:8" x14ac:dyDescent="0.25">
      <c r="B76" s="129"/>
      <c r="C76" s="147">
        <v>60</v>
      </c>
      <c r="D76" s="122"/>
      <c r="E76" s="123"/>
      <c r="F76" s="149"/>
      <c r="G76" s="148"/>
      <c r="H76" s="130"/>
    </row>
    <row r="77" spans="2:8" x14ac:dyDescent="0.25">
      <c r="B77" s="129"/>
      <c r="C77" s="147">
        <v>61</v>
      </c>
      <c r="D77" s="122"/>
      <c r="E77" s="123"/>
      <c r="F77" s="149"/>
      <c r="G77" s="148"/>
      <c r="H77" s="130"/>
    </row>
    <row r="78" spans="2:8" x14ac:dyDescent="0.25">
      <c r="B78" s="129"/>
      <c r="C78" s="147">
        <v>62</v>
      </c>
      <c r="D78" s="122"/>
      <c r="E78" s="123"/>
      <c r="F78" s="149"/>
      <c r="G78" s="148"/>
      <c r="H78" s="130"/>
    </row>
    <row r="79" spans="2:8" x14ac:dyDescent="0.25">
      <c r="B79" s="129"/>
      <c r="C79" s="147">
        <v>63</v>
      </c>
      <c r="D79" s="122"/>
      <c r="E79" s="123"/>
      <c r="F79" s="149"/>
      <c r="G79" s="148"/>
      <c r="H79" s="130"/>
    </row>
    <row r="80" spans="2:8" x14ac:dyDescent="0.25">
      <c r="B80" s="129"/>
      <c r="C80" s="147">
        <v>64</v>
      </c>
      <c r="D80" s="122"/>
      <c r="E80" s="123"/>
      <c r="F80" s="149"/>
      <c r="G80" s="148"/>
      <c r="H80" s="130"/>
    </row>
    <row r="81" spans="2:8" x14ac:dyDescent="0.25">
      <c r="B81" s="129"/>
      <c r="C81" s="147">
        <v>65</v>
      </c>
      <c r="D81" s="122"/>
      <c r="E81" s="123"/>
      <c r="F81" s="149"/>
      <c r="G81" s="148"/>
      <c r="H81" s="130"/>
    </row>
    <row r="82" spans="2:8" x14ac:dyDescent="0.25">
      <c r="B82" s="129"/>
      <c r="C82" s="147">
        <v>66</v>
      </c>
      <c r="D82" s="122"/>
      <c r="E82" s="123"/>
      <c r="F82" s="149"/>
      <c r="G82" s="148"/>
      <c r="H82" s="130"/>
    </row>
    <row r="83" spans="2:8" x14ac:dyDescent="0.25">
      <c r="B83" s="129"/>
      <c r="C83" s="147">
        <v>67</v>
      </c>
      <c r="D83" s="122"/>
      <c r="E83" s="123"/>
      <c r="F83" s="149"/>
      <c r="G83" s="148"/>
      <c r="H83" s="130"/>
    </row>
    <row r="84" spans="2:8" x14ac:dyDescent="0.25">
      <c r="B84" s="129"/>
      <c r="C84" s="147">
        <v>68</v>
      </c>
      <c r="D84" s="122"/>
      <c r="E84" s="123"/>
      <c r="F84" s="149"/>
      <c r="G84" s="148"/>
      <c r="H84" s="130"/>
    </row>
    <row r="85" spans="2:8" x14ac:dyDescent="0.25">
      <c r="B85" s="129"/>
      <c r="C85" s="147">
        <v>69</v>
      </c>
      <c r="D85" s="122"/>
      <c r="E85" s="123"/>
      <c r="F85" s="149"/>
      <c r="G85" s="148"/>
      <c r="H85" s="130"/>
    </row>
    <row r="86" spans="2:8" x14ac:dyDescent="0.25">
      <c r="B86" s="129"/>
      <c r="C86" s="147">
        <v>70</v>
      </c>
      <c r="D86" s="122"/>
      <c r="E86" s="123"/>
      <c r="F86" s="149"/>
      <c r="G86" s="148"/>
      <c r="H86" s="130"/>
    </row>
    <row r="87" spans="2:8" x14ac:dyDescent="0.25">
      <c r="B87" s="129"/>
      <c r="C87" s="147">
        <v>71</v>
      </c>
      <c r="D87" s="122"/>
      <c r="E87" s="123"/>
      <c r="F87" s="149"/>
      <c r="G87" s="148"/>
      <c r="H87" s="130"/>
    </row>
    <row r="88" spans="2:8" x14ac:dyDescent="0.25">
      <c r="B88" s="129"/>
      <c r="C88" s="147">
        <v>72</v>
      </c>
      <c r="D88" s="122"/>
      <c r="E88" s="123"/>
      <c r="F88" s="149"/>
      <c r="G88" s="148"/>
      <c r="H88" s="130"/>
    </row>
    <row r="89" spans="2:8" x14ac:dyDescent="0.25">
      <c r="B89" s="129"/>
      <c r="C89" s="147">
        <v>73</v>
      </c>
      <c r="D89" s="122"/>
      <c r="E89" s="123"/>
      <c r="F89" s="149"/>
      <c r="G89" s="148"/>
      <c r="H89" s="130"/>
    </row>
    <row r="90" spans="2:8" x14ac:dyDescent="0.25">
      <c r="B90" s="129"/>
      <c r="C90" s="147">
        <v>74</v>
      </c>
      <c r="D90" s="122"/>
      <c r="E90" s="123"/>
      <c r="F90" s="149"/>
      <c r="G90" s="148"/>
      <c r="H90" s="130"/>
    </row>
    <row r="91" spans="2:8" x14ac:dyDescent="0.25">
      <c r="B91" s="129"/>
      <c r="C91" s="147">
        <v>75</v>
      </c>
      <c r="D91" s="122"/>
      <c r="E91" s="123"/>
      <c r="F91" s="149"/>
      <c r="G91" s="148"/>
      <c r="H91" s="130"/>
    </row>
    <row r="92" spans="2:8" x14ac:dyDescent="0.25">
      <c r="B92" s="129"/>
      <c r="C92" s="147">
        <v>76</v>
      </c>
      <c r="D92" s="122"/>
      <c r="E92" s="123"/>
      <c r="F92" s="149"/>
      <c r="G92" s="148"/>
      <c r="H92" s="130"/>
    </row>
    <row r="93" spans="2:8" x14ac:dyDescent="0.25">
      <c r="B93" s="129"/>
      <c r="C93" s="147">
        <v>77</v>
      </c>
      <c r="D93" s="122"/>
      <c r="E93" s="123"/>
      <c r="F93" s="149"/>
      <c r="G93" s="148"/>
      <c r="H93" s="130"/>
    </row>
    <row r="94" spans="2:8" x14ac:dyDescent="0.25">
      <c r="B94" s="129"/>
      <c r="C94" s="147">
        <v>78</v>
      </c>
      <c r="D94" s="122"/>
      <c r="E94" s="123"/>
      <c r="F94" s="149"/>
      <c r="G94" s="148"/>
      <c r="H94" s="130"/>
    </row>
    <row r="95" spans="2:8" x14ac:dyDescent="0.25">
      <c r="B95" s="129"/>
      <c r="C95" s="147">
        <v>79</v>
      </c>
      <c r="D95" s="122"/>
      <c r="E95" s="123"/>
      <c r="F95" s="149"/>
      <c r="G95" s="148"/>
      <c r="H95" s="130"/>
    </row>
    <row r="96" spans="2:8" x14ac:dyDescent="0.25">
      <c r="B96" s="129"/>
      <c r="C96" s="147">
        <v>80</v>
      </c>
      <c r="D96" s="122"/>
      <c r="E96" s="123"/>
      <c r="F96" s="149"/>
      <c r="G96" s="148"/>
      <c r="H96" s="130"/>
    </row>
    <row r="97" spans="2:8" x14ac:dyDescent="0.25">
      <c r="B97" s="129"/>
      <c r="C97" s="147">
        <v>81</v>
      </c>
      <c r="D97" s="122"/>
      <c r="E97" s="123"/>
      <c r="F97" s="149"/>
      <c r="G97" s="148"/>
      <c r="H97" s="130"/>
    </row>
    <row r="98" spans="2:8" x14ac:dyDescent="0.25">
      <c r="B98" s="129"/>
      <c r="C98" s="147">
        <v>82</v>
      </c>
      <c r="D98" s="122"/>
      <c r="E98" s="123"/>
      <c r="F98" s="149"/>
      <c r="G98" s="148"/>
      <c r="H98" s="130"/>
    </row>
    <row r="99" spans="2:8" x14ac:dyDescent="0.25">
      <c r="B99" s="129"/>
      <c r="C99" s="147">
        <v>83</v>
      </c>
      <c r="D99" s="122"/>
      <c r="E99" s="123"/>
      <c r="F99" s="149"/>
      <c r="G99" s="148"/>
      <c r="H99" s="130"/>
    </row>
    <row r="100" spans="2:8" x14ac:dyDescent="0.25">
      <c r="B100" s="129"/>
      <c r="C100" s="147">
        <v>84</v>
      </c>
      <c r="D100" s="122"/>
      <c r="E100" s="123"/>
      <c r="F100" s="149"/>
      <c r="G100" s="148"/>
      <c r="H100" s="130"/>
    </row>
    <row r="101" spans="2:8" x14ac:dyDescent="0.25">
      <c r="B101" s="129"/>
      <c r="C101" s="147">
        <v>85</v>
      </c>
      <c r="D101" s="122"/>
      <c r="E101" s="123"/>
      <c r="F101" s="149"/>
      <c r="G101" s="148"/>
      <c r="H101" s="130"/>
    </row>
    <row r="102" spans="2:8" x14ac:dyDescent="0.25">
      <c r="B102" s="129"/>
      <c r="C102" s="147">
        <v>86</v>
      </c>
      <c r="D102" s="122"/>
      <c r="E102" s="123"/>
      <c r="F102" s="149"/>
      <c r="G102" s="148"/>
      <c r="H102" s="130"/>
    </row>
    <row r="103" spans="2:8" x14ac:dyDescent="0.25">
      <c r="B103" s="129"/>
      <c r="C103" s="147">
        <v>87</v>
      </c>
      <c r="D103" s="122"/>
      <c r="E103" s="123"/>
      <c r="F103" s="149"/>
      <c r="G103" s="148"/>
      <c r="H103" s="130"/>
    </row>
    <row r="104" spans="2:8" x14ac:dyDescent="0.25">
      <c r="B104" s="129"/>
      <c r="C104" s="147">
        <v>88</v>
      </c>
      <c r="D104" s="122"/>
      <c r="E104" s="123"/>
      <c r="F104" s="149"/>
      <c r="G104" s="148"/>
      <c r="H104" s="130"/>
    </row>
    <row r="105" spans="2:8" x14ac:dyDescent="0.25">
      <c r="B105" s="129"/>
      <c r="C105" s="147">
        <v>89</v>
      </c>
      <c r="D105" s="122"/>
      <c r="E105" s="123"/>
      <c r="F105" s="149"/>
      <c r="G105" s="148"/>
      <c r="H105" s="130"/>
    </row>
    <row r="106" spans="2:8" x14ac:dyDescent="0.25">
      <c r="B106" s="129"/>
      <c r="C106" s="147">
        <v>90</v>
      </c>
      <c r="D106" s="122"/>
      <c r="E106" s="123"/>
      <c r="F106" s="149"/>
      <c r="G106" s="148"/>
      <c r="H106" s="130"/>
    </row>
    <row r="107" spans="2:8" x14ac:dyDescent="0.25">
      <c r="B107" s="129"/>
      <c r="C107" s="147">
        <v>91</v>
      </c>
      <c r="D107" s="122"/>
      <c r="E107" s="123"/>
      <c r="F107" s="149"/>
      <c r="G107" s="148"/>
      <c r="H107" s="130"/>
    </row>
    <row r="108" spans="2:8" x14ac:dyDescent="0.25">
      <c r="B108" s="129"/>
      <c r="C108" s="147">
        <v>92</v>
      </c>
      <c r="D108" s="122"/>
      <c r="E108" s="123"/>
      <c r="F108" s="149"/>
      <c r="G108" s="148"/>
      <c r="H108" s="130"/>
    </row>
    <row r="109" spans="2:8" x14ac:dyDescent="0.25">
      <c r="B109" s="129"/>
      <c r="C109" s="147">
        <v>93</v>
      </c>
      <c r="D109" s="122"/>
      <c r="E109" s="123"/>
      <c r="F109" s="149"/>
      <c r="G109" s="148"/>
      <c r="H109" s="130"/>
    </row>
    <row r="110" spans="2:8" x14ac:dyDescent="0.25">
      <c r="B110" s="129"/>
      <c r="C110" s="147">
        <v>94</v>
      </c>
      <c r="D110" s="122"/>
      <c r="E110" s="123"/>
      <c r="F110" s="149"/>
      <c r="G110" s="148"/>
      <c r="H110" s="130"/>
    </row>
    <row r="111" spans="2:8" x14ac:dyDescent="0.25">
      <c r="B111" s="129"/>
      <c r="C111" s="147">
        <v>95</v>
      </c>
      <c r="D111" s="122"/>
      <c r="E111" s="123"/>
      <c r="F111" s="149"/>
      <c r="G111" s="148"/>
      <c r="H111" s="130"/>
    </row>
    <row r="112" spans="2:8" x14ac:dyDescent="0.25">
      <c r="B112" s="129"/>
      <c r="C112" s="147">
        <v>96</v>
      </c>
      <c r="D112" s="122"/>
      <c r="E112" s="123"/>
      <c r="F112" s="149"/>
      <c r="G112" s="148"/>
      <c r="H112" s="130"/>
    </row>
    <row r="113" spans="2:8" x14ac:dyDescent="0.25">
      <c r="B113" s="129"/>
      <c r="C113" s="147">
        <v>97</v>
      </c>
      <c r="D113" s="122"/>
      <c r="E113" s="123"/>
      <c r="F113" s="149"/>
      <c r="G113" s="148"/>
      <c r="H113" s="130"/>
    </row>
    <row r="114" spans="2:8" x14ac:dyDescent="0.25">
      <c r="B114" s="129"/>
      <c r="C114" s="147">
        <v>98</v>
      </c>
      <c r="D114" s="122"/>
      <c r="E114" s="123"/>
      <c r="F114" s="149"/>
      <c r="G114" s="148"/>
      <c r="H114" s="130"/>
    </row>
    <row r="115" spans="2:8" x14ac:dyDescent="0.25">
      <c r="B115" s="129"/>
      <c r="C115" s="147">
        <v>99</v>
      </c>
      <c r="D115" s="122"/>
      <c r="E115" s="123"/>
      <c r="F115" s="149"/>
      <c r="G115" s="148"/>
      <c r="H115" s="130"/>
    </row>
    <row r="116" spans="2:8" x14ac:dyDescent="0.25">
      <c r="B116" s="129"/>
      <c r="C116" s="147">
        <v>100</v>
      </c>
      <c r="D116" s="155"/>
      <c r="E116" s="156"/>
      <c r="F116" s="157"/>
      <c r="G116" s="158"/>
      <c r="H116" s="130"/>
    </row>
    <row r="117" spans="2:8" x14ac:dyDescent="0.25">
      <c r="B117" s="129"/>
      <c r="C117" s="147">
        <v>101</v>
      </c>
      <c r="D117" s="155"/>
      <c r="E117" s="156"/>
      <c r="F117" s="157"/>
      <c r="G117" s="158"/>
      <c r="H117" s="130"/>
    </row>
    <row r="118" spans="2:8" x14ac:dyDescent="0.25">
      <c r="B118" s="129"/>
      <c r="C118" s="147">
        <v>102</v>
      </c>
      <c r="D118" s="155"/>
      <c r="E118" s="156"/>
      <c r="F118" s="157"/>
      <c r="G118" s="158"/>
      <c r="H118" s="130"/>
    </row>
    <row r="119" spans="2:8" x14ac:dyDescent="0.25">
      <c r="B119" s="129"/>
      <c r="C119" s="147">
        <v>103</v>
      </c>
      <c r="D119" s="155"/>
      <c r="E119" s="156"/>
      <c r="F119" s="157"/>
      <c r="G119" s="158"/>
      <c r="H119" s="130"/>
    </row>
    <row r="120" spans="2:8" x14ac:dyDescent="0.25">
      <c r="B120" s="129"/>
      <c r="C120" s="147">
        <v>104</v>
      </c>
      <c r="D120" s="155"/>
      <c r="E120" s="156"/>
      <c r="F120" s="157"/>
      <c r="G120" s="158"/>
      <c r="H120" s="130"/>
    </row>
    <row r="121" spans="2:8" x14ac:dyDescent="0.25">
      <c r="B121" s="129"/>
      <c r="C121" s="147">
        <v>105</v>
      </c>
      <c r="D121" s="155"/>
      <c r="E121" s="156"/>
      <c r="F121" s="157"/>
      <c r="G121" s="158"/>
      <c r="H121" s="130"/>
    </row>
    <row r="122" spans="2:8" x14ac:dyDescent="0.25">
      <c r="B122" s="129"/>
      <c r="C122" s="147">
        <v>106</v>
      </c>
      <c r="D122" s="155"/>
      <c r="E122" s="156"/>
      <c r="F122" s="157"/>
      <c r="G122" s="158"/>
      <c r="H122" s="130"/>
    </row>
    <row r="123" spans="2:8" x14ac:dyDescent="0.25">
      <c r="B123" s="129"/>
      <c r="C123" s="147">
        <v>107</v>
      </c>
      <c r="D123" s="155"/>
      <c r="E123" s="156"/>
      <c r="F123" s="157"/>
      <c r="G123" s="158"/>
      <c r="H123" s="130"/>
    </row>
    <row r="124" spans="2:8" x14ac:dyDescent="0.25">
      <c r="B124" s="129"/>
      <c r="C124" s="147">
        <v>108</v>
      </c>
      <c r="D124" s="155"/>
      <c r="E124" s="156"/>
      <c r="F124" s="157"/>
      <c r="G124" s="158"/>
      <c r="H124" s="130"/>
    </row>
    <row r="125" spans="2:8" x14ac:dyDescent="0.25">
      <c r="B125" s="129"/>
      <c r="C125" s="147">
        <v>109</v>
      </c>
      <c r="D125" s="155"/>
      <c r="E125" s="156"/>
      <c r="F125" s="157"/>
      <c r="G125" s="158"/>
      <c r="H125" s="130"/>
    </row>
    <row r="126" spans="2:8" x14ac:dyDescent="0.25">
      <c r="B126" s="129"/>
      <c r="C126" s="147">
        <v>110</v>
      </c>
      <c r="D126" s="155"/>
      <c r="E126" s="156"/>
      <c r="F126" s="157"/>
      <c r="G126" s="158"/>
      <c r="H126" s="130"/>
    </row>
    <row r="127" spans="2:8" x14ac:dyDescent="0.25">
      <c r="B127" s="129"/>
      <c r="C127" s="147">
        <v>111</v>
      </c>
      <c r="D127" s="155"/>
      <c r="E127" s="156"/>
      <c r="F127" s="157"/>
      <c r="G127" s="158"/>
      <c r="H127" s="130"/>
    </row>
    <row r="128" spans="2:8" x14ac:dyDescent="0.25">
      <c r="B128" s="129"/>
      <c r="C128" s="147">
        <v>112</v>
      </c>
      <c r="D128" s="155"/>
      <c r="E128" s="156"/>
      <c r="F128" s="157"/>
      <c r="G128" s="158"/>
      <c r="H128" s="130"/>
    </row>
    <row r="129" spans="2:8" x14ac:dyDescent="0.25">
      <c r="B129" s="129"/>
      <c r="C129" s="147">
        <v>113</v>
      </c>
      <c r="D129" s="155"/>
      <c r="E129" s="156"/>
      <c r="F129" s="157"/>
      <c r="G129" s="158"/>
      <c r="H129" s="130"/>
    </row>
    <row r="130" spans="2:8" x14ac:dyDescent="0.25">
      <c r="B130" s="129"/>
      <c r="C130" s="147">
        <v>114</v>
      </c>
      <c r="D130" s="155"/>
      <c r="E130" s="156"/>
      <c r="F130" s="157"/>
      <c r="G130" s="158"/>
      <c r="H130" s="130"/>
    </row>
    <row r="131" spans="2:8" x14ac:dyDescent="0.25">
      <c r="B131" s="129"/>
      <c r="C131" s="147">
        <v>115</v>
      </c>
      <c r="D131" s="155"/>
      <c r="E131" s="156"/>
      <c r="F131" s="157"/>
      <c r="G131" s="158"/>
      <c r="H131" s="130"/>
    </row>
    <row r="132" spans="2:8" x14ac:dyDescent="0.25">
      <c r="B132" s="129"/>
      <c r="C132" s="147">
        <v>116</v>
      </c>
      <c r="D132" s="155"/>
      <c r="E132" s="156"/>
      <c r="F132" s="157"/>
      <c r="G132" s="158"/>
      <c r="H132" s="130"/>
    </row>
    <row r="133" spans="2:8" x14ac:dyDescent="0.25">
      <c r="B133" s="129"/>
      <c r="C133" s="147">
        <v>117</v>
      </c>
      <c r="D133" s="155"/>
      <c r="E133" s="156"/>
      <c r="F133" s="157"/>
      <c r="G133" s="158"/>
      <c r="H133" s="130"/>
    </row>
    <row r="134" spans="2:8" x14ac:dyDescent="0.25">
      <c r="B134" s="129"/>
      <c r="C134" s="147">
        <v>118</v>
      </c>
      <c r="D134" s="155"/>
      <c r="E134" s="156"/>
      <c r="F134" s="157"/>
      <c r="G134" s="158"/>
      <c r="H134" s="130"/>
    </row>
    <row r="135" spans="2:8" x14ac:dyDescent="0.25">
      <c r="B135" s="129"/>
      <c r="C135" s="147">
        <v>119</v>
      </c>
      <c r="D135" s="155"/>
      <c r="E135" s="156"/>
      <c r="F135" s="157"/>
      <c r="G135" s="158"/>
      <c r="H135" s="130"/>
    </row>
    <row r="136" spans="2:8" x14ac:dyDescent="0.25">
      <c r="B136" s="129"/>
      <c r="C136" s="147">
        <v>120</v>
      </c>
      <c r="D136" s="155"/>
      <c r="E136" s="156"/>
      <c r="F136" s="157"/>
      <c r="G136" s="158"/>
      <c r="H136" s="130"/>
    </row>
    <row r="137" spans="2:8" x14ac:dyDescent="0.25">
      <c r="B137" s="129"/>
      <c r="C137" s="147">
        <v>121</v>
      </c>
      <c r="D137" s="155"/>
      <c r="E137" s="156"/>
      <c r="F137" s="157"/>
      <c r="G137" s="158"/>
      <c r="H137" s="130"/>
    </row>
    <row r="138" spans="2:8" x14ac:dyDescent="0.25">
      <c r="B138" s="129"/>
      <c r="C138" s="147">
        <v>122</v>
      </c>
      <c r="D138" s="155"/>
      <c r="E138" s="156"/>
      <c r="F138" s="157"/>
      <c r="G138" s="158"/>
      <c r="H138" s="130"/>
    </row>
    <row r="139" spans="2:8" x14ac:dyDescent="0.25">
      <c r="B139" s="129"/>
      <c r="C139" s="147">
        <v>123</v>
      </c>
      <c r="D139" s="155"/>
      <c r="E139" s="156"/>
      <c r="F139" s="157"/>
      <c r="G139" s="158"/>
      <c r="H139" s="130"/>
    </row>
    <row r="140" spans="2:8" x14ac:dyDescent="0.25">
      <c r="B140" s="129"/>
      <c r="C140" s="147">
        <v>124</v>
      </c>
      <c r="D140" s="155"/>
      <c r="E140" s="156"/>
      <c r="F140" s="157"/>
      <c r="G140" s="158"/>
      <c r="H140" s="130"/>
    </row>
    <row r="141" spans="2:8" x14ac:dyDescent="0.25">
      <c r="B141" s="129"/>
      <c r="C141" s="147">
        <v>125</v>
      </c>
      <c r="D141" s="155"/>
      <c r="E141" s="156"/>
      <c r="F141" s="157"/>
      <c r="G141" s="158"/>
      <c r="H141" s="130"/>
    </row>
    <row r="142" spans="2:8" x14ac:dyDescent="0.25">
      <c r="B142" s="129"/>
      <c r="C142" s="147">
        <v>126</v>
      </c>
      <c r="D142" s="155"/>
      <c r="E142" s="156"/>
      <c r="F142" s="157"/>
      <c r="G142" s="158"/>
      <c r="H142" s="130"/>
    </row>
    <row r="143" spans="2:8" x14ac:dyDescent="0.25">
      <c r="B143" s="129"/>
      <c r="C143" s="147">
        <v>127</v>
      </c>
      <c r="D143" s="155"/>
      <c r="E143" s="156"/>
      <c r="F143" s="157"/>
      <c r="G143" s="158"/>
      <c r="H143" s="130"/>
    </row>
    <row r="144" spans="2:8" x14ac:dyDescent="0.25">
      <c r="B144" s="129"/>
      <c r="C144" s="147">
        <v>128</v>
      </c>
      <c r="D144" s="155"/>
      <c r="E144" s="156"/>
      <c r="F144" s="157"/>
      <c r="G144" s="158"/>
      <c r="H144" s="130"/>
    </row>
    <row r="145" spans="2:8" x14ac:dyDescent="0.25">
      <c r="B145" s="129"/>
      <c r="C145" s="147">
        <v>129</v>
      </c>
      <c r="D145" s="155"/>
      <c r="E145" s="156"/>
      <c r="F145" s="157"/>
      <c r="G145" s="158"/>
      <c r="H145" s="130"/>
    </row>
    <row r="146" spans="2:8" x14ac:dyDescent="0.25">
      <c r="B146" s="129"/>
      <c r="C146" s="147">
        <v>130</v>
      </c>
      <c r="D146" s="155"/>
      <c r="E146" s="156"/>
      <c r="F146" s="157"/>
      <c r="G146" s="158"/>
      <c r="H146" s="130"/>
    </row>
    <row r="147" spans="2:8" x14ac:dyDescent="0.25">
      <c r="B147" s="129"/>
      <c r="C147" s="147">
        <v>131</v>
      </c>
      <c r="D147" s="155"/>
      <c r="E147" s="156"/>
      <c r="F147" s="157"/>
      <c r="G147" s="158"/>
      <c r="H147" s="130"/>
    </row>
    <row r="148" spans="2:8" x14ac:dyDescent="0.25">
      <c r="B148" s="129"/>
      <c r="C148" s="147">
        <v>132</v>
      </c>
      <c r="D148" s="155"/>
      <c r="E148" s="156"/>
      <c r="F148" s="157"/>
      <c r="G148" s="158"/>
      <c r="H148" s="130"/>
    </row>
    <row r="149" spans="2:8" x14ac:dyDescent="0.25">
      <c r="B149" s="129"/>
      <c r="C149" s="147">
        <v>133</v>
      </c>
      <c r="D149" s="155"/>
      <c r="E149" s="156"/>
      <c r="F149" s="157"/>
      <c r="G149" s="158"/>
      <c r="H149" s="130"/>
    </row>
    <row r="150" spans="2:8" x14ac:dyDescent="0.25">
      <c r="B150" s="129"/>
      <c r="C150" s="147">
        <v>134</v>
      </c>
      <c r="D150" s="155"/>
      <c r="E150" s="156"/>
      <c r="F150" s="157"/>
      <c r="G150" s="158"/>
      <c r="H150" s="130"/>
    </row>
    <row r="151" spans="2:8" x14ac:dyDescent="0.25">
      <c r="B151" s="129"/>
      <c r="C151" s="147">
        <v>135</v>
      </c>
      <c r="D151" s="155"/>
      <c r="E151" s="156"/>
      <c r="F151" s="157"/>
      <c r="G151" s="158"/>
      <c r="H151" s="130"/>
    </row>
    <row r="152" spans="2:8" x14ac:dyDescent="0.25">
      <c r="B152" s="129"/>
      <c r="C152" s="147">
        <v>136</v>
      </c>
      <c r="D152" s="155"/>
      <c r="E152" s="156"/>
      <c r="F152" s="157"/>
      <c r="G152" s="158"/>
      <c r="H152" s="130"/>
    </row>
    <row r="153" spans="2:8" x14ac:dyDescent="0.25">
      <c r="B153" s="129"/>
      <c r="C153" s="147">
        <v>137</v>
      </c>
      <c r="D153" s="155"/>
      <c r="E153" s="156"/>
      <c r="F153" s="157"/>
      <c r="G153" s="158"/>
      <c r="H153" s="130"/>
    </row>
    <row r="154" spans="2:8" x14ac:dyDescent="0.25">
      <c r="B154" s="129"/>
      <c r="C154" s="147">
        <v>138</v>
      </c>
      <c r="D154" s="155"/>
      <c r="E154" s="156"/>
      <c r="F154" s="157"/>
      <c r="G154" s="158"/>
      <c r="H154" s="130"/>
    </row>
    <row r="155" spans="2:8" x14ac:dyDescent="0.25">
      <c r="B155" s="129"/>
      <c r="C155" s="147">
        <v>139</v>
      </c>
      <c r="D155" s="155"/>
      <c r="E155" s="156"/>
      <c r="F155" s="157"/>
      <c r="G155" s="158"/>
      <c r="H155" s="130"/>
    </row>
    <row r="156" spans="2:8" x14ac:dyDescent="0.25">
      <c r="B156" s="129"/>
      <c r="C156" s="147">
        <v>140</v>
      </c>
      <c r="D156" s="155"/>
      <c r="E156" s="156"/>
      <c r="F156" s="157"/>
      <c r="G156" s="158"/>
      <c r="H156" s="130"/>
    </row>
    <row r="157" spans="2:8" x14ac:dyDescent="0.25">
      <c r="B157" s="129"/>
      <c r="C157" s="147">
        <v>141</v>
      </c>
      <c r="D157" s="155"/>
      <c r="E157" s="156"/>
      <c r="F157" s="157"/>
      <c r="G157" s="158"/>
      <c r="H157" s="130"/>
    </row>
    <row r="158" spans="2:8" x14ac:dyDescent="0.25">
      <c r="B158" s="129"/>
      <c r="C158" s="147">
        <v>142</v>
      </c>
      <c r="D158" s="155"/>
      <c r="E158" s="156"/>
      <c r="F158" s="157"/>
      <c r="G158" s="158"/>
      <c r="H158" s="130"/>
    </row>
    <row r="159" spans="2:8" x14ac:dyDescent="0.25">
      <c r="B159" s="129"/>
      <c r="C159" s="147">
        <v>143</v>
      </c>
      <c r="D159" s="155"/>
      <c r="E159" s="156"/>
      <c r="F159" s="157"/>
      <c r="G159" s="158"/>
      <c r="H159" s="130"/>
    </row>
    <row r="160" spans="2:8" x14ac:dyDescent="0.25">
      <c r="B160" s="129"/>
      <c r="C160" s="147">
        <v>144</v>
      </c>
      <c r="D160" s="155"/>
      <c r="E160" s="156"/>
      <c r="F160" s="157"/>
      <c r="G160" s="158"/>
      <c r="H160" s="130"/>
    </row>
    <row r="161" spans="2:8" x14ac:dyDescent="0.25">
      <c r="B161" s="129"/>
      <c r="C161" s="147">
        <v>145</v>
      </c>
      <c r="D161" s="155"/>
      <c r="E161" s="156"/>
      <c r="F161" s="157"/>
      <c r="G161" s="158"/>
      <c r="H161" s="130"/>
    </row>
    <row r="162" spans="2:8" x14ac:dyDescent="0.25">
      <c r="B162" s="129"/>
      <c r="C162" s="147">
        <v>146</v>
      </c>
      <c r="D162" s="155"/>
      <c r="E162" s="156"/>
      <c r="F162" s="157"/>
      <c r="G162" s="158"/>
      <c r="H162" s="130"/>
    </row>
    <row r="163" spans="2:8" x14ac:dyDescent="0.25">
      <c r="B163" s="129"/>
      <c r="C163" s="147">
        <v>147</v>
      </c>
      <c r="D163" s="155"/>
      <c r="E163" s="156"/>
      <c r="F163" s="157"/>
      <c r="G163" s="158"/>
      <c r="H163" s="130"/>
    </row>
    <row r="164" spans="2:8" x14ac:dyDescent="0.25">
      <c r="B164" s="129"/>
      <c r="C164" s="147">
        <v>148</v>
      </c>
      <c r="D164" s="155"/>
      <c r="E164" s="156"/>
      <c r="F164" s="157"/>
      <c r="G164" s="158"/>
      <c r="H164" s="130"/>
    </row>
    <row r="165" spans="2:8" x14ac:dyDescent="0.25">
      <c r="B165" s="129"/>
      <c r="C165" s="147">
        <v>149</v>
      </c>
      <c r="D165" s="155"/>
      <c r="E165" s="156"/>
      <c r="F165" s="157"/>
      <c r="G165" s="158"/>
      <c r="H165" s="130"/>
    </row>
    <row r="166" spans="2:8" x14ac:dyDescent="0.25">
      <c r="B166" s="129"/>
      <c r="C166" s="147">
        <v>150</v>
      </c>
      <c r="D166" s="155"/>
      <c r="E166" s="156"/>
      <c r="F166" s="157"/>
      <c r="G166" s="158"/>
      <c r="H166" s="130"/>
    </row>
    <row r="167" spans="2:8" x14ac:dyDescent="0.25">
      <c r="B167" s="129"/>
      <c r="C167" s="147">
        <v>151</v>
      </c>
      <c r="D167" s="155"/>
      <c r="E167" s="156"/>
      <c r="F167" s="157"/>
      <c r="G167" s="158"/>
      <c r="H167" s="130"/>
    </row>
    <row r="168" spans="2:8" x14ac:dyDescent="0.25">
      <c r="B168" s="129"/>
      <c r="C168" s="147">
        <v>152</v>
      </c>
      <c r="D168" s="155"/>
      <c r="E168" s="156"/>
      <c r="F168" s="157"/>
      <c r="G168" s="158"/>
      <c r="H168" s="130"/>
    </row>
    <row r="169" spans="2:8" x14ac:dyDescent="0.25">
      <c r="B169" s="129"/>
      <c r="C169" s="147">
        <v>153</v>
      </c>
      <c r="D169" s="155"/>
      <c r="E169" s="156"/>
      <c r="F169" s="157"/>
      <c r="G169" s="158"/>
      <c r="H169" s="130"/>
    </row>
    <row r="170" spans="2:8" x14ac:dyDescent="0.25">
      <c r="B170" s="129"/>
      <c r="C170" s="147">
        <v>154</v>
      </c>
      <c r="D170" s="155"/>
      <c r="E170" s="156"/>
      <c r="F170" s="157"/>
      <c r="G170" s="158"/>
      <c r="H170" s="130"/>
    </row>
    <row r="171" spans="2:8" x14ac:dyDescent="0.25">
      <c r="B171" s="129"/>
      <c r="C171" s="147">
        <v>155</v>
      </c>
      <c r="D171" s="155"/>
      <c r="E171" s="156"/>
      <c r="F171" s="157"/>
      <c r="G171" s="158"/>
      <c r="H171" s="130"/>
    </row>
    <row r="172" spans="2:8" x14ac:dyDescent="0.25">
      <c r="B172" s="129"/>
      <c r="C172" s="147">
        <v>156</v>
      </c>
      <c r="D172" s="155"/>
      <c r="E172" s="156"/>
      <c r="F172" s="157"/>
      <c r="G172" s="158"/>
      <c r="H172" s="130"/>
    </row>
    <row r="173" spans="2:8" x14ac:dyDescent="0.25">
      <c r="B173" s="129"/>
      <c r="C173" s="147">
        <v>157</v>
      </c>
      <c r="D173" s="155"/>
      <c r="E173" s="156"/>
      <c r="F173" s="157"/>
      <c r="G173" s="158"/>
      <c r="H173" s="130"/>
    </row>
    <row r="174" spans="2:8" x14ac:dyDescent="0.25">
      <c r="B174" s="129"/>
      <c r="C174" s="147">
        <v>158</v>
      </c>
      <c r="D174" s="155"/>
      <c r="E174" s="156"/>
      <c r="F174" s="157"/>
      <c r="G174" s="158"/>
      <c r="H174" s="130"/>
    </row>
    <row r="175" spans="2:8" x14ac:dyDescent="0.25">
      <c r="B175" s="129"/>
      <c r="C175" s="147">
        <v>159</v>
      </c>
      <c r="D175" s="155"/>
      <c r="E175" s="156"/>
      <c r="F175" s="157"/>
      <c r="G175" s="158"/>
      <c r="H175" s="130"/>
    </row>
    <row r="176" spans="2:8" x14ac:dyDescent="0.25">
      <c r="B176" s="129"/>
      <c r="C176" s="147">
        <v>160</v>
      </c>
      <c r="D176" s="155"/>
      <c r="E176" s="156"/>
      <c r="F176" s="157"/>
      <c r="G176" s="158"/>
      <c r="H176" s="130"/>
    </row>
    <row r="177" spans="2:8" x14ac:dyDescent="0.25">
      <c r="B177" s="129"/>
      <c r="C177" s="147">
        <v>161</v>
      </c>
      <c r="D177" s="155"/>
      <c r="E177" s="156"/>
      <c r="F177" s="157"/>
      <c r="G177" s="158"/>
      <c r="H177" s="130"/>
    </row>
    <row r="178" spans="2:8" x14ac:dyDescent="0.25">
      <c r="B178" s="129"/>
      <c r="C178" s="147">
        <v>162</v>
      </c>
      <c r="D178" s="155"/>
      <c r="E178" s="156"/>
      <c r="F178" s="157"/>
      <c r="G178" s="158"/>
      <c r="H178" s="130"/>
    </row>
    <row r="179" spans="2:8" x14ac:dyDescent="0.25">
      <c r="B179" s="129"/>
      <c r="C179" s="147">
        <v>163</v>
      </c>
      <c r="D179" s="155"/>
      <c r="E179" s="156"/>
      <c r="F179" s="157"/>
      <c r="G179" s="158"/>
      <c r="H179" s="130"/>
    </row>
    <row r="180" spans="2:8" x14ac:dyDescent="0.25">
      <c r="B180" s="129"/>
      <c r="C180" s="147">
        <v>164</v>
      </c>
      <c r="D180" s="155"/>
      <c r="E180" s="156"/>
      <c r="F180" s="157"/>
      <c r="G180" s="158"/>
      <c r="H180" s="130"/>
    </row>
    <row r="181" spans="2:8" x14ac:dyDescent="0.25">
      <c r="B181" s="129"/>
      <c r="C181" s="147">
        <v>165</v>
      </c>
      <c r="D181" s="155"/>
      <c r="E181" s="156"/>
      <c r="F181" s="157"/>
      <c r="G181" s="158"/>
      <c r="H181" s="130"/>
    </row>
    <row r="182" spans="2:8" x14ac:dyDescent="0.25">
      <c r="B182" s="129"/>
      <c r="C182" s="147">
        <v>166</v>
      </c>
      <c r="D182" s="155"/>
      <c r="E182" s="156"/>
      <c r="F182" s="157"/>
      <c r="G182" s="158"/>
      <c r="H182" s="130"/>
    </row>
    <row r="183" spans="2:8" x14ac:dyDescent="0.25">
      <c r="B183" s="129"/>
      <c r="C183" s="147">
        <v>167</v>
      </c>
      <c r="D183" s="155"/>
      <c r="E183" s="156"/>
      <c r="F183" s="157"/>
      <c r="G183" s="158"/>
      <c r="H183" s="130"/>
    </row>
    <row r="184" spans="2:8" x14ac:dyDescent="0.25">
      <c r="B184" s="129"/>
      <c r="C184" s="147">
        <v>168</v>
      </c>
      <c r="D184" s="155"/>
      <c r="E184" s="156"/>
      <c r="F184" s="157"/>
      <c r="G184" s="158"/>
      <c r="H184" s="130"/>
    </row>
    <row r="185" spans="2:8" x14ac:dyDescent="0.25">
      <c r="B185" s="129"/>
      <c r="C185" s="147">
        <v>169</v>
      </c>
      <c r="D185" s="155"/>
      <c r="E185" s="156"/>
      <c r="F185" s="157"/>
      <c r="G185" s="158"/>
      <c r="H185" s="130"/>
    </row>
    <row r="186" spans="2:8" x14ac:dyDescent="0.25">
      <c r="B186" s="129"/>
      <c r="C186" s="147">
        <v>170</v>
      </c>
      <c r="D186" s="155"/>
      <c r="E186" s="156"/>
      <c r="F186" s="157"/>
      <c r="G186" s="158"/>
      <c r="H186" s="130"/>
    </row>
    <row r="187" spans="2:8" x14ac:dyDescent="0.25">
      <c r="B187" s="129"/>
      <c r="C187" s="147">
        <v>171</v>
      </c>
      <c r="D187" s="155"/>
      <c r="E187" s="156"/>
      <c r="F187" s="157"/>
      <c r="G187" s="158"/>
      <c r="H187" s="130"/>
    </row>
    <row r="188" spans="2:8" x14ac:dyDescent="0.25">
      <c r="B188" s="129"/>
      <c r="C188" s="147">
        <v>172</v>
      </c>
      <c r="D188" s="155"/>
      <c r="E188" s="156"/>
      <c r="F188" s="157"/>
      <c r="G188" s="158"/>
      <c r="H188" s="130"/>
    </row>
    <row r="189" spans="2:8" x14ac:dyDescent="0.25">
      <c r="B189" s="129"/>
      <c r="C189" s="147">
        <v>173</v>
      </c>
      <c r="D189" s="155"/>
      <c r="E189" s="156"/>
      <c r="F189" s="157"/>
      <c r="G189" s="158"/>
      <c r="H189" s="130"/>
    </row>
    <row r="190" spans="2:8" x14ac:dyDescent="0.25">
      <c r="B190" s="129"/>
      <c r="C190" s="147">
        <v>174</v>
      </c>
      <c r="D190" s="155"/>
      <c r="E190" s="156"/>
      <c r="F190" s="157"/>
      <c r="G190" s="158"/>
      <c r="H190" s="130"/>
    </row>
    <row r="191" spans="2:8" x14ac:dyDescent="0.25">
      <c r="B191" s="129"/>
      <c r="C191" s="147">
        <v>175</v>
      </c>
      <c r="D191" s="155"/>
      <c r="E191" s="156"/>
      <c r="F191" s="157"/>
      <c r="G191" s="158"/>
      <c r="H191" s="130"/>
    </row>
    <row r="192" spans="2:8" x14ac:dyDescent="0.25">
      <c r="B192" s="129"/>
      <c r="C192" s="147">
        <v>176</v>
      </c>
      <c r="D192" s="155"/>
      <c r="E192" s="156"/>
      <c r="F192" s="157"/>
      <c r="G192" s="158"/>
      <c r="H192" s="130"/>
    </row>
    <row r="193" spans="2:8" x14ac:dyDescent="0.25">
      <c r="B193" s="129"/>
      <c r="C193" s="147">
        <v>177</v>
      </c>
      <c r="D193" s="155"/>
      <c r="E193" s="156"/>
      <c r="F193" s="157"/>
      <c r="G193" s="158"/>
      <c r="H193" s="130"/>
    </row>
    <row r="194" spans="2:8" x14ac:dyDescent="0.25">
      <c r="B194" s="129"/>
      <c r="C194" s="147">
        <v>178</v>
      </c>
      <c r="D194" s="155"/>
      <c r="E194" s="156"/>
      <c r="F194" s="157"/>
      <c r="G194" s="158"/>
      <c r="H194" s="130"/>
    </row>
    <row r="195" spans="2:8" x14ac:dyDescent="0.25">
      <c r="B195" s="129"/>
      <c r="C195" s="147">
        <v>179</v>
      </c>
      <c r="D195" s="155"/>
      <c r="E195" s="156"/>
      <c r="F195" s="157"/>
      <c r="G195" s="158"/>
      <c r="H195" s="130"/>
    </row>
    <row r="196" spans="2:8" x14ac:dyDescent="0.25">
      <c r="B196" s="129"/>
      <c r="C196" s="147">
        <v>180</v>
      </c>
      <c r="D196" s="155"/>
      <c r="E196" s="156"/>
      <c r="F196" s="157"/>
      <c r="G196" s="158"/>
      <c r="H196" s="130"/>
    </row>
    <row r="197" spans="2:8" x14ac:dyDescent="0.25">
      <c r="B197" s="129"/>
      <c r="C197" s="147">
        <v>181</v>
      </c>
      <c r="D197" s="155"/>
      <c r="E197" s="156"/>
      <c r="F197" s="157"/>
      <c r="G197" s="158"/>
      <c r="H197" s="130"/>
    </row>
    <row r="198" spans="2:8" x14ac:dyDescent="0.25">
      <c r="B198" s="129"/>
      <c r="C198" s="147">
        <v>182</v>
      </c>
      <c r="D198" s="155"/>
      <c r="E198" s="156"/>
      <c r="F198" s="157"/>
      <c r="G198" s="158"/>
      <c r="H198" s="130"/>
    </row>
    <row r="199" spans="2:8" x14ac:dyDescent="0.25">
      <c r="B199" s="129"/>
      <c r="C199" s="147">
        <v>183</v>
      </c>
      <c r="D199" s="155"/>
      <c r="E199" s="156"/>
      <c r="F199" s="157"/>
      <c r="G199" s="158"/>
      <c r="H199" s="130"/>
    </row>
    <row r="200" spans="2:8" x14ac:dyDescent="0.25">
      <c r="B200" s="129"/>
      <c r="C200" s="147">
        <v>184</v>
      </c>
      <c r="D200" s="155"/>
      <c r="E200" s="156"/>
      <c r="F200" s="157"/>
      <c r="G200" s="158"/>
      <c r="H200" s="130"/>
    </row>
    <row r="201" spans="2:8" x14ac:dyDescent="0.25">
      <c r="B201" s="129"/>
      <c r="C201" s="147">
        <v>185</v>
      </c>
      <c r="D201" s="155"/>
      <c r="E201" s="156"/>
      <c r="F201" s="157"/>
      <c r="G201" s="158"/>
      <c r="H201" s="130"/>
    </row>
    <row r="202" spans="2:8" x14ac:dyDescent="0.25">
      <c r="B202" s="129"/>
      <c r="C202" s="147">
        <v>186</v>
      </c>
      <c r="D202" s="155"/>
      <c r="E202" s="156"/>
      <c r="F202" s="157"/>
      <c r="G202" s="158"/>
      <c r="H202" s="130"/>
    </row>
    <row r="203" spans="2:8" x14ac:dyDescent="0.25">
      <c r="B203" s="129"/>
      <c r="C203" s="147">
        <v>187</v>
      </c>
      <c r="D203" s="155"/>
      <c r="E203" s="156"/>
      <c r="F203" s="157"/>
      <c r="G203" s="158"/>
      <c r="H203" s="130"/>
    </row>
    <row r="204" spans="2:8" x14ac:dyDescent="0.25">
      <c r="B204" s="129"/>
      <c r="C204" s="147">
        <v>188</v>
      </c>
      <c r="D204" s="155"/>
      <c r="E204" s="156"/>
      <c r="F204" s="157"/>
      <c r="G204" s="158"/>
      <c r="H204" s="130"/>
    </row>
    <row r="205" spans="2:8" x14ac:dyDescent="0.25">
      <c r="B205" s="129"/>
      <c r="C205" s="147">
        <v>189</v>
      </c>
      <c r="D205" s="155"/>
      <c r="E205" s="156"/>
      <c r="F205" s="157"/>
      <c r="G205" s="158"/>
      <c r="H205" s="130"/>
    </row>
    <row r="206" spans="2:8" x14ac:dyDescent="0.25">
      <c r="B206" s="129"/>
      <c r="C206" s="147">
        <v>190</v>
      </c>
      <c r="D206" s="155"/>
      <c r="E206" s="156"/>
      <c r="F206" s="157"/>
      <c r="G206" s="158"/>
      <c r="H206" s="130"/>
    </row>
    <row r="207" spans="2:8" x14ac:dyDescent="0.25">
      <c r="B207" s="129"/>
      <c r="C207" s="147">
        <v>191</v>
      </c>
      <c r="D207" s="155"/>
      <c r="E207" s="156"/>
      <c r="F207" s="157"/>
      <c r="G207" s="158"/>
      <c r="H207" s="130"/>
    </row>
    <row r="208" spans="2:8" x14ac:dyDescent="0.25">
      <c r="B208" s="129"/>
      <c r="C208" s="147">
        <v>192</v>
      </c>
      <c r="D208" s="155"/>
      <c r="E208" s="156"/>
      <c r="F208" s="157"/>
      <c r="G208" s="158"/>
      <c r="H208" s="130"/>
    </row>
    <row r="209" spans="2:8" x14ac:dyDescent="0.25">
      <c r="B209" s="129"/>
      <c r="C209" s="147">
        <v>193</v>
      </c>
      <c r="D209" s="155"/>
      <c r="E209" s="156"/>
      <c r="F209" s="157"/>
      <c r="G209" s="158"/>
      <c r="H209" s="130"/>
    </row>
    <row r="210" spans="2:8" x14ac:dyDescent="0.25">
      <c r="B210" s="129"/>
      <c r="C210" s="147">
        <v>194</v>
      </c>
      <c r="D210" s="155"/>
      <c r="E210" s="156"/>
      <c r="F210" s="157"/>
      <c r="G210" s="158"/>
      <c r="H210" s="130"/>
    </row>
    <row r="211" spans="2:8" x14ac:dyDescent="0.25">
      <c r="B211" s="129"/>
      <c r="C211" s="147">
        <v>195</v>
      </c>
      <c r="D211" s="155"/>
      <c r="E211" s="156"/>
      <c r="F211" s="157"/>
      <c r="G211" s="158"/>
      <c r="H211" s="130"/>
    </row>
    <row r="212" spans="2:8" x14ac:dyDescent="0.25">
      <c r="B212" s="129"/>
      <c r="C212" s="147">
        <v>196</v>
      </c>
      <c r="D212" s="155"/>
      <c r="E212" s="156"/>
      <c r="F212" s="157"/>
      <c r="G212" s="158"/>
      <c r="H212" s="130"/>
    </row>
    <row r="213" spans="2:8" x14ac:dyDescent="0.25">
      <c r="B213" s="129"/>
      <c r="C213" s="147">
        <v>197</v>
      </c>
      <c r="D213" s="155"/>
      <c r="E213" s="156"/>
      <c r="F213" s="157"/>
      <c r="G213" s="158"/>
      <c r="H213" s="130"/>
    </row>
    <row r="214" spans="2:8" x14ac:dyDescent="0.25">
      <c r="B214" s="129"/>
      <c r="C214" s="147">
        <v>198</v>
      </c>
      <c r="D214" s="155"/>
      <c r="E214" s="156"/>
      <c r="F214" s="157"/>
      <c r="G214" s="158"/>
      <c r="H214" s="130"/>
    </row>
    <row r="215" spans="2:8" x14ac:dyDescent="0.25">
      <c r="B215" s="129"/>
      <c r="C215" s="147">
        <v>199</v>
      </c>
      <c r="D215" s="155"/>
      <c r="E215" s="156"/>
      <c r="F215" s="157"/>
      <c r="G215" s="158"/>
      <c r="H215" s="130"/>
    </row>
    <row r="216" spans="2:8" ht="15.75" thickBot="1" x14ac:dyDescent="0.3">
      <c r="B216" s="129"/>
      <c r="C216" s="150">
        <v>200</v>
      </c>
      <c r="D216" s="124"/>
      <c r="E216" s="125"/>
      <c r="F216" s="152"/>
      <c r="G216" s="151"/>
      <c r="H216" s="130"/>
    </row>
    <row r="217" spans="2:8" ht="7.5" customHeight="1" thickBot="1" x14ac:dyDescent="0.3">
      <c r="B217" s="138"/>
      <c r="C217" s="139"/>
      <c r="D217" s="139"/>
      <c r="E217" s="139"/>
      <c r="F217" s="139"/>
      <c r="G217" s="139"/>
      <c r="H217" s="153"/>
    </row>
  </sheetData>
  <mergeCells count="7">
    <mergeCell ref="C3:G3"/>
    <mergeCell ref="C6:G6"/>
    <mergeCell ref="C14:C15"/>
    <mergeCell ref="D14:E14"/>
    <mergeCell ref="F14:G14"/>
    <mergeCell ref="D8:E8"/>
    <mergeCell ref="D10:E10"/>
  </mergeCells>
  <pageMargins left="0.7" right="0.7" top="0.75" bottom="0.75" header="0.3" footer="0.3"/>
  <pageSetup paperSize="9" orientation="portrait" r:id="rId1"/>
  <ignoredErrors>
    <ignoredError sqref="H9:H10" formula="1"/>
  </ignoredError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5" r:id="rId4" name="Button 3">
              <controlPr defaultSize="0" print="0" autoFill="0" autoPict="0" macro="[0]!przelicz" altText="PRZELICZ WSPÓŁRZĘDNE">
                <anchor moveWithCells="1">
                  <from>
                    <xdr:col>1</xdr:col>
                    <xdr:colOff>66675</xdr:colOff>
                    <xdr:row>1</xdr:row>
                    <xdr:rowOff>28575</xdr:rowOff>
                  </from>
                  <to>
                    <xdr:col>4</xdr:col>
                    <xdr:colOff>828675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7" r:id="rId5" name="Button 5">
              <controlPr defaultSize="0" print="0" autoFill="0" autoPict="0" macro="[0]!export" altText="EKSPORTUJ">
                <anchor moveWithCells="1">
                  <from>
                    <xdr:col>4</xdr:col>
                    <xdr:colOff>1057275</xdr:colOff>
                    <xdr:row>1</xdr:row>
                    <xdr:rowOff>28575</xdr:rowOff>
                  </from>
                  <to>
                    <xdr:col>7</xdr:col>
                    <xdr:colOff>9525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9" r:id="rId6" name="Button 7">
              <controlPr defaultSize="0" print="0" autoFill="0" autoPict="0" macro="[0]!do_gory" altText="PRZELICZ WSPÓŁRZĘDNE">
                <anchor moveWithCells="1">
                  <from>
                    <xdr:col>0</xdr:col>
                    <xdr:colOff>942975</xdr:colOff>
                    <xdr:row>217</xdr:row>
                    <xdr:rowOff>114300</xdr:rowOff>
                  </from>
                  <to>
                    <xdr:col>8</xdr:col>
                    <xdr:colOff>9525</xdr:colOff>
                    <xdr:row>220</xdr:row>
                    <xdr:rowOff>85725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>
          <x14:formula1>
            <xm:f>konfig!$B$2:$B$14</xm:f>
          </x14:formula1>
          <xm:sqref>D10:E10 D8:E8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3"/>
  <dimension ref="B1:E14"/>
  <sheetViews>
    <sheetView workbookViewId="0">
      <selection activeCell="C58" sqref="C58"/>
    </sheetView>
  </sheetViews>
  <sheetFormatPr defaultRowHeight="15" x14ac:dyDescent="0.25"/>
  <cols>
    <col min="2" max="2" width="23.28515625" customWidth="1"/>
    <col min="3" max="3" width="11.42578125" customWidth="1"/>
  </cols>
  <sheetData>
    <row r="1" spans="2:5" x14ac:dyDescent="0.25">
      <c r="B1" s="1" t="s">
        <v>0</v>
      </c>
      <c r="C1" s="1" t="s">
        <v>1</v>
      </c>
    </row>
    <row r="2" spans="2:5" x14ac:dyDescent="0.25">
      <c r="B2" s="118" t="s">
        <v>152</v>
      </c>
      <c r="C2" s="1"/>
      <c r="D2">
        <v>6</v>
      </c>
      <c r="E2">
        <v>1</v>
      </c>
    </row>
    <row r="3" spans="2:5" x14ac:dyDescent="0.25">
      <c r="B3" s="118" t="s">
        <v>151</v>
      </c>
      <c r="C3" s="1"/>
      <c r="D3">
        <v>6</v>
      </c>
      <c r="E3">
        <v>2</v>
      </c>
    </row>
    <row r="4" spans="2:5" x14ac:dyDescent="0.25">
      <c r="B4" s="119" t="s">
        <v>3</v>
      </c>
      <c r="C4">
        <v>3120</v>
      </c>
      <c r="D4">
        <v>1</v>
      </c>
      <c r="E4">
        <v>0</v>
      </c>
    </row>
    <row r="5" spans="2:5" x14ac:dyDescent="0.25">
      <c r="B5" s="119" t="s">
        <v>4</v>
      </c>
      <c r="C5">
        <v>2172</v>
      </c>
      <c r="D5">
        <v>2</v>
      </c>
      <c r="E5">
        <v>0</v>
      </c>
    </row>
    <row r="6" spans="2:5" x14ac:dyDescent="0.25">
      <c r="B6" s="119" t="s">
        <v>5</v>
      </c>
      <c r="C6">
        <v>2173</v>
      </c>
      <c r="D6">
        <v>3</v>
      </c>
      <c r="E6">
        <v>0</v>
      </c>
    </row>
    <row r="7" spans="2:5" x14ac:dyDescent="0.25">
      <c r="B7" s="119" t="s">
        <v>6</v>
      </c>
      <c r="C7">
        <v>2174</v>
      </c>
      <c r="D7">
        <v>4</v>
      </c>
      <c r="E7">
        <v>0</v>
      </c>
    </row>
    <row r="8" spans="2:5" x14ac:dyDescent="0.25">
      <c r="B8" s="119" t="s">
        <v>7</v>
      </c>
      <c r="C8">
        <v>2175</v>
      </c>
      <c r="D8">
        <v>5</v>
      </c>
      <c r="E8">
        <v>0</v>
      </c>
    </row>
    <row r="9" spans="2:5" x14ac:dyDescent="0.25">
      <c r="B9" s="119" t="s">
        <v>2</v>
      </c>
      <c r="C9">
        <v>2180</v>
      </c>
      <c r="D9">
        <v>8</v>
      </c>
      <c r="E9">
        <v>0</v>
      </c>
    </row>
    <row r="10" spans="2:5" x14ac:dyDescent="0.25">
      <c r="B10" s="119" t="s">
        <v>147</v>
      </c>
      <c r="C10">
        <v>2176</v>
      </c>
      <c r="D10">
        <v>7</v>
      </c>
      <c r="E10">
        <v>1</v>
      </c>
    </row>
    <row r="11" spans="2:5" x14ac:dyDescent="0.25">
      <c r="B11" s="119" t="s">
        <v>148</v>
      </c>
      <c r="C11">
        <v>2177</v>
      </c>
      <c r="D11">
        <v>7</v>
      </c>
      <c r="E11">
        <v>2</v>
      </c>
    </row>
    <row r="12" spans="2:5" x14ac:dyDescent="0.25">
      <c r="B12" s="119" t="s">
        <v>149</v>
      </c>
      <c r="C12">
        <v>2178</v>
      </c>
      <c r="D12">
        <v>7</v>
      </c>
      <c r="E12">
        <v>3</v>
      </c>
    </row>
    <row r="13" spans="2:5" x14ac:dyDescent="0.25">
      <c r="B13" s="119" t="s">
        <v>150</v>
      </c>
      <c r="C13">
        <v>2179</v>
      </c>
      <c r="D13">
        <v>7</v>
      </c>
      <c r="E13">
        <v>4</v>
      </c>
    </row>
    <row r="14" spans="2:5" x14ac:dyDescent="0.25">
      <c r="B14" s="119" t="s">
        <v>153</v>
      </c>
      <c r="C14">
        <v>4326</v>
      </c>
      <c r="D14">
        <v>10</v>
      </c>
      <c r="E14">
        <v>0</v>
      </c>
    </row>
  </sheetData>
  <sortState ref="B2:C14">
    <sortCondition ref="B2"/>
  </sortState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Arkusz4"/>
  <dimension ref="A2:AA153"/>
  <sheetViews>
    <sheetView zoomScale="75" workbookViewId="0">
      <pane xSplit="2" ySplit="3" topLeftCell="C109" activePane="bottomRight" state="frozen"/>
      <selection pane="topRight" activeCell="C1" sqref="C1"/>
      <selection pane="bottomLeft" activeCell="A3" sqref="A3"/>
      <selection pane="bottomRight" activeCell="C145" sqref="C145"/>
    </sheetView>
  </sheetViews>
  <sheetFormatPr defaultRowHeight="14.25" x14ac:dyDescent="0.2"/>
  <cols>
    <col min="1" max="1" width="13.140625" style="2" customWidth="1"/>
    <col min="2" max="2" width="18" style="2" customWidth="1"/>
    <col min="3" max="10" width="28.5703125" style="2" bestFit="1" customWidth="1"/>
    <col min="11" max="11" width="24.140625" style="2" customWidth="1"/>
    <col min="12" max="14" width="28.5703125" style="2" customWidth="1"/>
    <col min="15" max="15" width="15.42578125" style="2" bestFit="1" customWidth="1"/>
    <col min="16" max="19" width="29.42578125" style="2" bestFit="1" customWidth="1"/>
    <col min="20" max="20" width="29.85546875" style="2" bestFit="1" customWidth="1"/>
    <col min="21" max="23" width="29.42578125" style="3" bestFit="1" customWidth="1"/>
    <col min="24" max="24" width="22.85546875" style="2" bestFit="1" customWidth="1"/>
    <col min="25" max="25" width="22.28515625" style="3" bestFit="1" customWidth="1"/>
    <col min="26" max="26" width="29.140625" style="2" customWidth="1"/>
    <col min="27" max="27" width="30.85546875" style="2" bestFit="1" customWidth="1"/>
    <col min="28" max="16384" width="9.140625" style="2"/>
  </cols>
  <sheetData>
    <row r="2" spans="1:27" s="106" customFormat="1" x14ac:dyDescent="0.2">
      <c r="A2" s="116"/>
      <c r="B2" s="116"/>
      <c r="C2" s="116">
        <v>1</v>
      </c>
      <c r="D2" s="116">
        <v>2</v>
      </c>
      <c r="E2" s="116">
        <v>3</v>
      </c>
      <c r="F2" s="116">
        <v>4</v>
      </c>
      <c r="G2" s="116">
        <v>5</v>
      </c>
      <c r="H2" s="116">
        <v>6</v>
      </c>
      <c r="I2" s="116">
        <v>7</v>
      </c>
      <c r="J2" s="117">
        <v>8</v>
      </c>
      <c r="K2" s="116">
        <v>9</v>
      </c>
      <c r="L2" s="116">
        <v>10</v>
      </c>
      <c r="M2" s="116"/>
      <c r="N2" s="116"/>
      <c r="O2" s="115"/>
      <c r="P2" s="114">
        <v>1</v>
      </c>
      <c r="Q2" s="114">
        <v>2</v>
      </c>
      <c r="R2" s="114">
        <v>3</v>
      </c>
      <c r="S2" s="114">
        <v>4</v>
      </c>
      <c r="T2" s="114">
        <v>5</v>
      </c>
      <c r="U2" s="114">
        <v>6</v>
      </c>
      <c r="V2" s="114">
        <v>7</v>
      </c>
      <c r="W2" s="114">
        <v>8</v>
      </c>
      <c r="X2" s="114">
        <v>9</v>
      </c>
      <c r="Y2" s="114">
        <v>10</v>
      </c>
      <c r="Z2" s="114"/>
      <c r="AA2" s="114">
        <v>10</v>
      </c>
    </row>
    <row r="3" spans="1:27" s="106" customFormat="1" x14ac:dyDescent="0.2">
      <c r="A3" s="68"/>
      <c r="B3" s="113" t="s">
        <v>142</v>
      </c>
      <c r="C3" s="68">
        <v>1</v>
      </c>
      <c r="D3" s="68">
        <v>2</v>
      </c>
      <c r="E3" s="68">
        <v>3</v>
      </c>
      <c r="F3" s="68">
        <v>4</v>
      </c>
      <c r="G3" s="68">
        <v>5</v>
      </c>
      <c r="H3" s="68">
        <v>1942</v>
      </c>
      <c r="I3" s="68">
        <v>2000</v>
      </c>
      <c r="J3" s="69">
        <v>1992</v>
      </c>
      <c r="K3" s="16" t="s">
        <v>141</v>
      </c>
      <c r="L3" s="16" t="s">
        <v>140</v>
      </c>
      <c r="M3" s="17" t="s">
        <v>139</v>
      </c>
      <c r="N3" s="17" t="s">
        <v>138</v>
      </c>
      <c r="O3" s="109"/>
      <c r="P3" s="108">
        <v>1</v>
      </c>
      <c r="Q3" s="108">
        <v>2</v>
      </c>
      <c r="R3" s="108">
        <v>3</v>
      </c>
      <c r="S3" s="108">
        <v>4</v>
      </c>
      <c r="T3" s="108">
        <v>5</v>
      </c>
      <c r="U3" s="108">
        <v>1942</v>
      </c>
      <c r="V3" s="108">
        <v>2000</v>
      </c>
      <c r="W3" s="108">
        <v>1992</v>
      </c>
      <c r="X3" s="108" t="s">
        <v>141</v>
      </c>
      <c r="Y3" s="108" t="s">
        <v>140</v>
      </c>
      <c r="Z3" s="15" t="s">
        <v>139</v>
      </c>
      <c r="AA3" s="15" t="s">
        <v>138</v>
      </c>
    </row>
    <row r="4" spans="1:27" s="106" customFormat="1" ht="15" thickBot="1" x14ac:dyDescent="0.25">
      <c r="A4" s="68"/>
      <c r="B4" s="113"/>
      <c r="C4" s="112"/>
      <c r="D4" s="112"/>
      <c r="E4" s="112"/>
      <c r="F4" s="112"/>
      <c r="G4" s="112"/>
      <c r="H4" s="112"/>
      <c r="I4" s="112"/>
      <c r="J4" s="111"/>
      <c r="K4" s="110"/>
      <c r="L4" s="110"/>
      <c r="M4" s="17" t="s">
        <v>137</v>
      </c>
      <c r="N4" s="17" t="s">
        <v>136</v>
      </c>
      <c r="O4" s="109"/>
      <c r="P4" s="108"/>
      <c r="Q4" s="108"/>
      <c r="R4" s="108"/>
      <c r="S4" s="108"/>
      <c r="T4" s="108"/>
      <c r="U4" s="108"/>
      <c r="V4" s="108"/>
      <c r="W4" s="108"/>
      <c r="X4" s="107"/>
      <c r="Y4" s="107"/>
      <c r="Z4" s="15" t="s">
        <v>137</v>
      </c>
      <c r="AA4" s="15" t="s">
        <v>136</v>
      </c>
    </row>
    <row r="5" spans="1:27" ht="15.75" thickTop="1" thickBot="1" x14ac:dyDescent="0.25">
      <c r="A5" s="95"/>
      <c r="B5" s="94" t="s">
        <v>34</v>
      </c>
      <c r="C5" s="102">
        <f t="shared" ref="C5:L5" si="0">$C$135</f>
        <v>327927.40999999997</v>
      </c>
      <c r="D5" s="102">
        <f t="shared" si="0"/>
        <v>327927.40999999997</v>
      </c>
      <c r="E5" s="102">
        <f t="shared" si="0"/>
        <v>327927.40999999997</v>
      </c>
      <c r="F5" s="102">
        <f t="shared" si="0"/>
        <v>327927.40999999997</v>
      </c>
      <c r="G5" s="102">
        <f t="shared" si="0"/>
        <v>327927.40999999997</v>
      </c>
      <c r="H5" s="102">
        <f t="shared" si="0"/>
        <v>327927.40999999997</v>
      </c>
      <c r="I5" s="102">
        <f t="shared" si="0"/>
        <v>327927.40999999997</v>
      </c>
      <c r="J5" s="102">
        <f t="shared" si="0"/>
        <v>327927.40999999997</v>
      </c>
      <c r="K5" s="102">
        <f t="shared" si="0"/>
        <v>327927.40999999997</v>
      </c>
      <c r="L5" s="102">
        <f t="shared" si="0"/>
        <v>327927.40999999997</v>
      </c>
      <c r="M5" s="101" t="s">
        <v>34</v>
      </c>
      <c r="N5" s="17" t="s">
        <v>34</v>
      </c>
      <c r="O5" s="105"/>
      <c r="P5" s="104">
        <f t="shared" ref="P5:W5" si="1">DEGREES(P14)</f>
        <v>1.8149950068067009</v>
      </c>
      <c r="Q5" s="104">
        <f t="shared" si="1"/>
        <v>1.5127028997175929</v>
      </c>
      <c r="R5" s="104">
        <f t="shared" si="1"/>
        <v>2.9215130951959116</v>
      </c>
      <c r="S5" s="104">
        <f t="shared" si="1"/>
        <v>3.4616908977411849</v>
      </c>
      <c r="T5" s="104">
        <f t="shared" si="1"/>
        <v>45.29250687507956</v>
      </c>
      <c r="U5" s="104">
        <f t="shared" si="1"/>
        <v>2.4828446004821871</v>
      </c>
      <c r="V5" s="104">
        <f t="shared" si="1"/>
        <v>1.575789916692748</v>
      </c>
      <c r="W5" s="103">
        <f t="shared" si="1"/>
        <v>50.80951002625973</v>
      </c>
      <c r="X5" s="98">
        <f>IF($B$148=1,P5,IF($B$148=2,Q5,IF($B$148=3,R5,IF($B$148=4,S5,IF($B$148=5,T5,IF($B$148=6,U5,0))))))</f>
        <v>0</v>
      </c>
      <c r="Y5" s="97">
        <f>IF($B$148=7,V5,IF($B$148=8,W5,0))</f>
        <v>50.80951002625973</v>
      </c>
      <c r="Z5" s="96" t="s">
        <v>34</v>
      </c>
      <c r="AA5" s="15" t="s">
        <v>34</v>
      </c>
    </row>
    <row r="6" spans="1:27" ht="15.75" thickTop="1" thickBot="1" x14ac:dyDescent="0.25">
      <c r="A6" s="77"/>
      <c r="B6" s="80" t="s">
        <v>33</v>
      </c>
      <c r="C6" s="102">
        <f t="shared" ref="C6:L6" si="2">$C$136</f>
        <v>600740.93000000005</v>
      </c>
      <c r="D6" s="102">
        <f t="shared" si="2"/>
        <v>600740.93000000005</v>
      </c>
      <c r="E6" s="102">
        <f t="shared" si="2"/>
        <v>600740.93000000005</v>
      </c>
      <c r="F6" s="102">
        <f t="shared" si="2"/>
        <v>600740.93000000005</v>
      </c>
      <c r="G6" s="102">
        <f t="shared" si="2"/>
        <v>600740.93000000005</v>
      </c>
      <c r="H6" s="102">
        <f t="shared" si="2"/>
        <v>600740.93000000005</v>
      </c>
      <c r="I6" s="102">
        <f t="shared" si="2"/>
        <v>600740.93000000005</v>
      </c>
      <c r="J6" s="102">
        <f t="shared" si="2"/>
        <v>600740.93000000005</v>
      </c>
      <c r="K6" s="102">
        <f t="shared" si="2"/>
        <v>600740.93000000005</v>
      </c>
      <c r="L6" s="102">
        <f t="shared" si="2"/>
        <v>600740.93000000005</v>
      </c>
      <c r="M6" s="101" t="s">
        <v>33</v>
      </c>
      <c r="N6" s="17" t="s">
        <v>33</v>
      </c>
      <c r="O6" s="79"/>
      <c r="P6" s="100">
        <f t="shared" ref="P6:W6" si="3">C8+DEGREES(P26)</f>
        <v>-9.7786369394793375</v>
      </c>
      <c r="Q6" s="100">
        <f t="shared" si="3"/>
        <v>-8.5916430741934633</v>
      </c>
      <c r="R6" s="100">
        <f t="shared" si="3"/>
        <v>-4.6753932602512727</v>
      </c>
      <c r="S6" s="100">
        <f t="shared" si="3"/>
        <v>-6.9919709474611835</v>
      </c>
      <c r="T6" s="100">
        <f t="shared" si="3"/>
        <v>23.595296890652065</v>
      </c>
      <c r="U6" s="100">
        <f t="shared" si="3"/>
        <v>-9.0508645065742002</v>
      </c>
      <c r="V6" s="100">
        <f t="shared" si="3"/>
        <v>-33.623072249457699</v>
      </c>
      <c r="W6" s="99">
        <f t="shared" si="3"/>
        <v>20.430290004750535</v>
      </c>
      <c r="X6" s="98">
        <f>IF($B$148=1,P6,IF($B$148=2,Q6,IF($B$148=3,R6,IF($B$148=4,S6,IF($B$148=5,T6,IF($B$148=6,U6,0))))))</f>
        <v>0</v>
      </c>
      <c r="Y6" s="97">
        <f>IF($B$148=7,V6,IF($B$148=8,W6,0))</f>
        <v>20.430290004750535</v>
      </c>
      <c r="Z6" s="96" t="s">
        <v>33</v>
      </c>
      <c r="AA6" s="15" t="s">
        <v>33</v>
      </c>
    </row>
    <row r="7" spans="1:27" ht="15" thickTop="1" x14ac:dyDescent="0.2">
      <c r="A7" s="77"/>
      <c r="B7" s="77" t="s">
        <v>60</v>
      </c>
      <c r="C7" s="95">
        <v>50.625</v>
      </c>
      <c r="D7" s="95">
        <v>53.001944444444447</v>
      </c>
      <c r="E7" s="95">
        <v>53.5833333333333</v>
      </c>
      <c r="F7" s="95">
        <v>51.670833333333334</v>
      </c>
      <c r="G7" s="95"/>
      <c r="H7" s="95"/>
      <c r="I7" s="94"/>
      <c r="J7" s="94"/>
      <c r="K7" s="93">
        <v>200</v>
      </c>
      <c r="L7" s="93">
        <v>200</v>
      </c>
      <c r="M7" s="17" t="s">
        <v>135</v>
      </c>
      <c r="N7" s="17" t="s">
        <v>135</v>
      </c>
      <c r="O7" s="79"/>
      <c r="P7" s="81"/>
      <c r="Q7" s="81"/>
      <c r="R7" s="81"/>
      <c r="S7" s="81"/>
      <c r="T7" s="81"/>
      <c r="U7" s="81"/>
      <c r="V7" s="81"/>
      <c r="W7" s="81"/>
      <c r="X7" s="92">
        <v>200</v>
      </c>
      <c r="Y7" s="92">
        <v>200</v>
      </c>
      <c r="Z7" s="15" t="s">
        <v>135</v>
      </c>
      <c r="AA7" s="15" t="s">
        <v>135</v>
      </c>
    </row>
    <row r="8" spans="1:27" ht="18.75" x14ac:dyDescent="0.35">
      <c r="A8" s="77"/>
      <c r="B8" s="77" t="s">
        <v>134</v>
      </c>
      <c r="C8" s="91">
        <v>21.083333333333332</v>
      </c>
      <c r="D8" s="91">
        <v>21.502777777777776</v>
      </c>
      <c r="E8" s="91">
        <v>17.008333333333333</v>
      </c>
      <c r="F8" s="91">
        <v>16.672222222222221</v>
      </c>
      <c r="G8" s="91">
        <v>18.958333333333332</v>
      </c>
      <c r="H8" s="91">
        <f>IF($B$150=1,15,IF($B$150=2,21,24))</f>
        <v>24</v>
      </c>
      <c r="I8" s="91">
        <f>IF($B$151=1,15,IF($B$151=2,18,IF($B$151=3,21,24)))</f>
        <v>24</v>
      </c>
      <c r="J8" s="90">
        <v>19</v>
      </c>
      <c r="K8" s="17">
        <f>RADIANS(K5)</f>
        <v>5723.4130120373775</v>
      </c>
      <c r="L8" s="17">
        <f>RADIANS(L5)</f>
        <v>5723.4130120373775</v>
      </c>
      <c r="M8" s="17" t="s">
        <v>128</v>
      </c>
      <c r="N8" s="17" t="s">
        <v>128</v>
      </c>
      <c r="O8" s="79"/>
      <c r="P8" s="81"/>
      <c r="Q8" s="81"/>
      <c r="R8" s="81"/>
      <c r="S8" s="81"/>
      <c r="T8" s="81"/>
      <c r="U8" s="81"/>
      <c r="V8" s="81"/>
      <c r="W8" s="81"/>
      <c r="X8" s="15">
        <f>RADIANS(X5)</f>
        <v>0</v>
      </c>
      <c r="Y8" s="15">
        <f>RADIANS(Y5)</f>
        <v>0.88679324128330284</v>
      </c>
      <c r="Z8" s="15" t="s">
        <v>128</v>
      </c>
      <c r="AA8" s="15" t="s">
        <v>128</v>
      </c>
    </row>
    <row r="9" spans="1:27" x14ac:dyDescent="0.2">
      <c r="A9" s="77"/>
      <c r="B9" s="77" t="s">
        <v>133</v>
      </c>
      <c r="C9" s="77">
        <v>0.99980000000000002</v>
      </c>
      <c r="D9" s="77">
        <v>0.99980000000000002</v>
      </c>
      <c r="E9" s="77">
        <v>0.99980000000000002</v>
      </c>
      <c r="F9" s="77">
        <v>0.99980000000000002</v>
      </c>
      <c r="G9" s="77">
        <v>0.99998299999999996</v>
      </c>
      <c r="H9" s="77">
        <v>1</v>
      </c>
      <c r="I9" s="77">
        <v>0.99992300000000001</v>
      </c>
      <c r="J9" s="80">
        <v>0.99929999999999997</v>
      </c>
      <c r="K9" s="17">
        <f>RADIANS(K6)</f>
        <v>10484.907179992781</v>
      </c>
      <c r="L9" s="17">
        <f>RADIANS(L6)</f>
        <v>10484.907179992781</v>
      </c>
      <c r="M9" s="17" t="s">
        <v>126</v>
      </c>
      <c r="N9" s="17" t="s">
        <v>126</v>
      </c>
      <c r="O9" s="79"/>
      <c r="P9" s="81"/>
      <c r="Q9" s="81"/>
      <c r="R9" s="81"/>
      <c r="S9" s="81"/>
      <c r="T9" s="81"/>
      <c r="U9" s="81"/>
      <c r="V9" s="81"/>
      <c r="W9" s="81"/>
      <c r="X9" s="15">
        <f>RADIANS(X6)</f>
        <v>0</v>
      </c>
      <c r="Y9" s="15">
        <f>RADIANS(Y6)</f>
        <v>0.35657582772018481</v>
      </c>
      <c r="Z9" s="15" t="s">
        <v>126</v>
      </c>
      <c r="AA9" s="15" t="s">
        <v>126</v>
      </c>
    </row>
    <row r="10" spans="1:27" x14ac:dyDescent="0.2">
      <c r="A10" s="77"/>
      <c r="B10" s="77" t="s">
        <v>108</v>
      </c>
      <c r="C10" s="91">
        <f t="shared" ref="C10:J10" si="4">DEGREES(C12)</f>
        <v>-32.415677744565762</v>
      </c>
      <c r="D10" s="91">
        <f t="shared" si="4"/>
        <v>-32.415677744565762</v>
      </c>
      <c r="E10" s="91">
        <f t="shared" si="4"/>
        <v>-32.415677744565762</v>
      </c>
      <c r="F10" s="91">
        <f t="shared" si="4"/>
        <v>-32.415677744565762</v>
      </c>
      <c r="G10" s="91">
        <f t="shared" si="4"/>
        <v>-32.415677744565762</v>
      </c>
      <c r="H10" s="91">
        <f t="shared" si="4"/>
        <v>-32.415677744565762</v>
      </c>
      <c r="I10" s="91">
        <f t="shared" si="4"/>
        <v>-32.415652743785436</v>
      </c>
      <c r="J10" s="90">
        <f t="shared" si="4"/>
        <v>-32.415652743785436</v>
      </c>
      <c r="K10" s="17">
        <f>K11/POWER(1-K14*SIN(K8)*SIN(K8),1/2)</f>
        <v>6384446.8811258804</v>
      </c>
      <c r="L10" s="17">
        <f>L11/POWER(1-L14*SIN(L8)*SIN(L8),1/2)</f>
        <v>6384339.6654140195</v>
      </c>
      <c r="M10" s="17" t="s">
        <v>132</v>
      </c>
      <c r="N10" s="17" t="s">
        <v>132</v>
      </c>
      <c r="O10" s="89"/>
      <c r="P10" s="81"/>
      <c r="Q10" s="81"/>
      <c r="R10" s="81"/>
      <c r="S10" s="81"/>
      <c r="T10" s="81"/>
      <c r="U10" s="81"/>
      <c r="V10" s="81"/>
      <c r="W10" s="81"/>
      <c r="X10" s="15">
        <f>X11/POWER(1-X14*SIN(X8)*SIN(X8),1/2)</f>
        <v>6378245</v>
      </c>
      <c r="Y10" s="15">
        <f>Y11/POWER(1-Y14*SIN(Y8)*SIN(Y8),1/2)</f>
        <v>6391000.0870809341</v>
      </c>
      <c r="Z10" s="15" t="s">
        <v>132</v>
      </c>
      <c r="AA10" s="15" t="s">
        <v>132</v>
      </c>
    </row>
    <row r="11" spans="1:27" x14ac:dyDescent="0.2">
      <c r="A11" s="77"/>
      <c r="B11" s="77" t="s">
        <v>131</v>
      </c>
      <c r="C11" s="91">
        <f t="shared" ref="C11:J11" si="5">C6</f>
        <v>600740.93000000005</v>
      </c>
      <c r="D11" s="91">
        <f t="shared" si="5"/>
        <v>600740.93000000005</v>
      </c>
      <c r="E11" s="91">
        <f t="shared" si="5"/>
        <v>600740.93000000005</v>
      </c>
      <c r="F11" s="91">
        <f t="shared" si="5"/>
        <v>600740.93000000005</v>
      </c>
      <c r="G11" s="91">
        <f t="shared" si="5"/>
        <v>600740.93000000005</v>
      </c>
      <c r="H11" s="91">
        <f t="shared" si="5"/>
        <v>600740.93000000005</v>
      </c>
      <c r="I11" s="91">
        <f t="shared" si="5"/>
        <v>600740.93000000005</v>
      </c>
      <c r="J11" s="90">
        <f t="shared" si="5"/>
        <v>600740.93000000005</v>
      </c>
      <c r="K11" s="17">
        <v>6378245</v>
      </c>
      <c r="L11" s="17">
        <v>6378137</v>
      </c>
      <c r="M11" s="17" t="s">
        <v>61</v>
      </c>
      <c r="N11" s="17" t="s">
        <v>62</v>
      </c>
      <c r="O11" s="89"/>
      <c r="P11" s="81"/>
      <c r="Q11" s="81"/>
      <c r="R11" s="81"/>
      <c r="S11" s="81"/>
      <c r="T11" s="81"/>
      <c r="U11" s="81"/>
      <c r="V11" s="81"/>
      <c r="W11" s="81"/>
      <c r="X11" s="15">
        <v>6378245</v>
      </c>
      <c r="Y11" s="15">
        <v>6378137</v>
      </c>
      <c r="Z11" s="15" t="s">
        <v>61</v>
      </c>
      <c r="AA11" s="15" t="s">
        <v>62</v>
      </c>
    </row>
    <row r="12" spans="1:27" x14ac:dyDescent="0.2">
      <c r="A12" s="77"/>
      <c r="B12" s="77" t="s">
        <v>130</v>
      </c>
      <c r="C12" s="77">
        <f t="shared" ref="C12:J12" si="6">C25</f>
        <v>-0.56576030590812199</v>
      </c>
      <c r="D12" s="77">
        <f t="shared" si="6"/>
        <v>-0.56576030590812199</v>
      </c>
      <c r="E12" s="77">
        <f t="shared" si="6"/>
        <v>-0.56576030590812199</v>
      </c>
      <c r="F12" s="77">
        <f t="shared" si="6"/>
        <v>-0.56576030590812199</v>
      </c>
      <c r="G12" s="77">
        <f t="shared" si="6"/>
        <v>-0.56576030590812199</v>
      </c>
      <c r="H12" s="77">
        <f t="shared" si="6"/>
        <v>-0.56576030590812199</v>
      </c>
      <c r="I12" s="77">
        <f t="shared" si="6"/>
        <v>-0.56575986956218971</v>
      </c>
      <c r="J12" s="80">
        <f t="shared" si="6"/>
        <v>-0.56575986956218971</v>
      </c>
      <c r="K12" s="17">
        <v>6356863.01877</v>
      </c>
      <c r="L12" s="17">
        <v>6356752.3141400004</v>
      </c>
      <c r="M12" s="17" t="s">
        <v>58</v>
      </c>
      <c r="N12" s="17" t="s">
        <v>59</v>
      </c>
      <c r="O12" s="89"/>
      <c r="P12" s="81"/>
      <c r="Q12" s="81"/>
      <c r="R12" s="81"/>
      <c r="S12" s="81"/>
      <c r="T12" s="81"/>
      <c r="U12" s="81"/>
      <c r="V12" s="81"/>
      <c r="W12" s="81"/>
      <c r="X12" s="15">
        <v>6356863.01877</v>
      </c>
      <c r="Y12" s="15">
        <v>6356752.3141400004</v>
      </c>
      <c r="Z12" s="15" t="s">
        <v>58</v>
      </c>
      <c r="AA12" s="15" t="s">
        <v>59</v>
      </c>
    </row>
    <row r="13" spans="1:27" x14ac:dyDescent="0.2">
      <c r="A13" s="77"/>
      <c r="B13" s="77" t="s">
        <v>129</v>
      </c>
      <c r="C13" s="77">
        <f t="shared" ref="C13:J13" si="7">RADIANS(C11)</f>
        <v>10484.907179992781</v>
      </c>
      <c r="D13" s="77">
        <f t="shared" si="7"/>
        <v>10484.907179992781</v>
      </c>
      <c r="E13" s="77">
        <f t="shared" si="7"/>
        <v>10484.907179992781</v>
      </c>
      <c r="F13" s="77">
        <f t="shared" si="7"/>
        <v>10484.907179992781</v>
      </c>
      <c r="G13" s="77">
        <f t="shared" si="7"/>
        <v>10484.907179992781</v>
      </c>
      <c r="H13" s="77">
        <f t="shared" si="7"/>
        <v>10484.907179992781</v>
      </c>
      <c r="I13" s="77">
        <f t="shared" si="7"/>
        <v>10484.907179992781</v>
      </c>
      <c r="J13" s="80">
        <f t="shared" si="7"/>
        <v>10484.907179992781</v>
      </c>
      <c r="K13" s="17">
        <v>8.1813334000000001E-2</v>
      </c>
      <c r="L13" s="17">
        <v>8.1819191042799999E-2</v>
      </c>
      <c r="M13" s="17" t="s">
        <v>53</v>
      </c>
      <c r="N13" s="17" t="s">
        <v>54</v>
      </c>
      <c r="O13" s="89"/>
      <c r="P13" s="81"/>
      <c r="Q13" s="81"/>
      <c r="R13" s="81"/>
      <c r="S13" s="81"/>
      <c r="T13" s="81"/>
      <c r="U13" s="81"/>
      <c r="V13" s="81"/>
      <c r="W13" s="81"/>
      <c r="X13" s="15">
        <v>8.1813334000000001E-2</v>
      </c>
      <c r="Y13" s="15">
        <v>8.1819191042799999E-2</v>
      </c>
      <c r="Z13" s="15" t="s">
        <v>53</v>
      </c>
      <c r="AA13" s="15" t="s">
        <v>54</v>
      </c>
    </row>
    <row r="14" spans="1:27" x14ac:dyDescent="0.2">
      <c r="A14" s="77"/>
      <c r="B14" s="77"/>
      <c r="C14" s="77">
        <f t="shared" ref="C14:J15" si="8">RADIANS(C5)</f>
        <v>5723.4130120373775</v>
      </c>
      <c r="D14" s="77">
        <f t="shared" si="8"/>
        <v>5723.4130120373775</v>
      </c>
      <c r="E14" s="77">
        <f t="shared" si="8"/>
        <v>5723.4130120373775</v>
      </c>
      <c r="F14" s="77">
        <f t="shared" si="8"/>
        <v>5723.4130120373775</v>
      </c>
      <c r="G14" s="77">
        <f t="shared" si="8"/>
        <v>5723.4130120373775</v>
      </c>
      <c r="H14" s="77">
        <f t="shared" si="8"/>
        <v>5723.4130120373775</v>
      </c>
      <c r="I14" s="77">
        <f t="shared" si="8"/>
        <v>5723.4130120373775</v>
      </c>
      <c r="J14" s="80">
        <f t="shared" si="8"/>
        <v>5723.4130120373775</v>
      </c>
      <c r="K14" s="17">
        <f>K13*K13</f>
        <v>6.6934216201955561E-3</v>
      </c>
      <c r="L14" s="17">
        <f>L13*L13</f>
        <v>6.6943800228982039E-3</v>
      </c>
      <c r="M14" s="17" t="s">
        <v>127</v>
      </c>
      <c r="N14" s="17" t="s">
        <v>127</v>
      </c>
      <c r="O14" s="89" t="s">
        <v>128</v>
      </c>
      <c r="P14" s="84">
        <f t="shared" ref="P14:V14" si="9">P25+P21*SIN(2*P25)+P22*SIN(4*P25)+P23*SIN(6*P25)+P24*SIN(8*P25)+0.0000000008</f>
        <v>3.1677638776033822E-2</v>
      </c>
      <c r="Q14" s="84">
        <f t="shared" si="9"/>
        <v>2.6401646204537596E-2</v>
      </c>
      <c r="R14" s="84">
        <f t="shared" si="9"/>
        <v>5.0990022651299191E-2</v>
      </c>
      <c r="S14" s="84">
        <f t="shared" si="9"/>
        <v>6.0417903851902009E-2</v>
      </c>
      <c r="T14" s="84">
        <f t="shared" si="9"/>
        <v>0.79050337145230631</v>
      </c>
      <c r="U14" s="84">
        <f t="shared" si="9"/>
        <v>4.3333813093777353E-2</v>
      </c>
      <c r="V14" s="84">
        <f t="shared" si="9"/>
        <v>2.7502722366015607E-2</v>
      </c>
      <c r="W14" s="84">
        <f>W25+W21*SIN(2*W25)+W22*SIN(4*W25)+W23*SIN(6*W25)+W24*SIN(8*W25)</f>
        <v>0.88679324128330284</v>
      </c>
      <c r="X14" s="15">
        <f>X13*X13</f>
        <v>6.6934216201955561E-3</v>
      </c>
      <c r="Y14" s="15">
        <f>Y13*Y13</f>
        <v>6.6943800228982039E-3</v>
      </c>
      <c r="Z14" s="15" t="s">
        <v>127</v>
      </c>
      <c r="AA14" s="15" t="s">
        <v>127</v>
      </c>
    </row>
    <row r="15" spans="1:27" x14ac:dyDescent="0.2">
      <c r="A15" s="77"/>
      <c r="B15" s="77" t="s">
        <v>126</v>
      </c>
      <c r="C15" s="77">
        <f t="shared" si="8"/>
        <v>10484.907179992781</v>
      </c>
      <c r="D15" s="77">
        <f t="shared" si="8"/>
        <v>10484.907179992781</v>
      </c>
      <c r="E15" s="77">
        <f t="shared" si="8"/>
        <v>10484.907179992781</v>
      </c>
      <c r="F15" s="77">
        <f t="shared" si="8"/>
        <v>10484.907179992781</v>
      </c>
      <c r="G15" s="77">
        <f t="shared" si="8"/>
        <v>10484.907179992781</v>
      </c>
      <c r="H15" s="77">
        <f t="shared" si="8"/>
        <v>10484.907179992781</v>
      </c>
      <c r="I15" s="77">
        <f t="shared" si="8"/>
        <v>10484.907179992781</v>
      </c>
      <c r="J15" s="80">
        <f t="shared" si="8"/>
        <v>10484.907179992781</v>
      </c>
      <c r="K15" s="17">
        <f>(K10+K7)*COS(K8)*COS(K9)</f>
        <v>-848008.10224053496</v>
      </c>
      <c r="L15" s="17">
        <f>(L10+L7)*COS(L8)*COS(L9)</f>
        <v>-847993.86186138191</v>
      </c>
      <c r="M15" s="17" t="s">
        <v>71</v>
      </c>
      <c r="N15" s="17" t="s">
        <v>72</v>
      </c>
      <c r="O15" s="79"/>
      <c r="P15" s="81"/>
      <c r="Q15" s="81"/>
      <c r="R15" s="81"/>
      <c r="S15" s="81"/>
      <c r="T15" s="81"/>
      <c r="U15" s="81"/>
      <c r="V15" s="81"/>
      <c r="W15" s="81"/>
      <c r="X15" s="15">
        <f>(X10+X7)*COS(X8)*COS(X9)</f>
        <v>6378445</v>
      </c>
      <c r="Y15" s="15">
        <f>(Y10+Y7)*COS(Y8)*COS(Y9)</f>
        <v>3784565.6717036585</v>
      </c>
      <c r="Z15" s="15" t="s">
        <v>71</v>
      </c>
      <c r="AA15" s="15" t="s">
        <v>72</v>
      </c>
    </row>
    <row r="16" spans="1:27" x14ac:dyDescent="0.2">
      <c r="A16" s="77"/>
      <c r="B16" s="77" t="s">
        <v>125</v>
      </c>
      <c r="C16" s="77">
        <f t="shared" ref="C16:J16" si="10">RADIANS(C8)</f>
        <v>0.36797358396213781</v>
      </c>
      <c r="D16" s="77">
        <f t="shared" si="10"/>
        <v>0.37529427054689179</v>
      </c>
      <c r="E16" s="77">
        <f t="shared" si="10"/>
        <v>0.29685141694336886</v>
      </c>
      <c r="F16" s="77">
        <f t="shared" si="10"/>
        <v>0.29098517140194347</v>
      </c>
      <c r="G16" s="77">
        <f t="shared" si="10"/>
        <v>0.33088533735725828</v>
      </c>
      <c r="H16" s="77">
        <f t="shared" si="10"/>
        <v>0.41887902047863912</v>
      </c>
      <c r="I16" s="77">
        <f t="shared" si="10"/>
        <v>0.41887902047863912</v>
      </c>
      <c r="J16" s="80">
        <f t="shared" si="10"/>
        <v>0.33161255787892263</v>
      </c>
      <c r="K16" s="17">
        <f>(K10+K7)*COS(K8)*SIN(K9)</f>
        <v>-5312100.4187301537</v>
      </c>
      <c r="L16" s="17">
        <f>(L10+L7)*COS(L8)*SIN(L9)</f>
        <v>-5312011.2140116347</v>
      </c>
      <c r="M16" s="17" t="s">
        <v>68</v>
      </c>
      <c r="N16" s="17" t="s">
        <v>69</v>
      </c>
      <c r="O16" s="79"/>
      <c r="P16" s="81"/>
      <c r="Q16" s="81"/>
      <c r="R16" s="81"/>
      <c r="S16" s="81"/>
      <c r="T16" s="81"/>
      <c r="U16" s="81"/>
      <c r="V16" s="81"/>
      <c r="W16" s="81"/>
      <c r="X16" s="15">
        <f>(X10+X7)*COS(X8)*SIN(X9)</f>
        <v>0</v>
      </c>
      <c r="Y16" s="15">
        <f>(Y10+Y7)*COS(Y8)*SIN(Y9)</f>
        <v>1409745.2725751647</v>
      </c>
      <c r="Z16" s="15" t="s">
        <v>68</v>
      </c>
      <c r="AA16" s="15" t="s">
        <v>69</v>
      </c>
    </row>
    <row r="17" spans="1:27" x14ac:dyDescent="0.2">
      <c r="A17" s="77"/>
      <c r="B17" s="77" t="s">
        <v>124</v>
      </c>
      <c r="C17" s="77">
        <f>PI()</f>
        <v>3.1415926535897931</v>
      </c>
      <c r="D17" s="77">
        <f>PI()</f>
        <v>3.1415926535897931</v>
      </c>
      <c r="E17" s="77">
        <f>PI()</f>
        <v>3.1415926535897931</v>
      </c>
      <c r="F17" s="77">
        <f>PI()</f>
        <v>3.1415926535897931</v>
      </c>
      <c r="G17" s="77">
        <f>PI()</f>
        <v>3.1415926535897931</v>
      </c>
      <c r="H17" s="77">
        <f>PI()</f>
        <v>3.1415926535897931</v>
      </c>
      <c r="I17" s="77">
        <f>PI()</f>
        <v>3.1415926535897931</v>
      </c>
      <c r="J17" s="80">
        <f>PI()</f>
        <v>3.1415926535897931</v>
      </c>
      <c r="K17" s="17">
        <f>(K10*(1-K14)+K7)*SIN(K8)</f>
        <v>-3415904.9524291633</v>
      </c>
      <c r="L17" s="17">
        <f>(L10*(1-L14)+L7)*SIN(L8)</f>
        <v>-3415844.2943253345</v>
      </c>
      <c r="M17" s="17" t="s">
        <v>65</v>
      </c>
      <c r="N17" s="17" t="s">
        <v>66</v>
      </c>
      <c r="O17" s="79"/>
      <c r="P17" s="81"/>
      <c r="Q17" s="81"/>
      <c r="R17" s="81"/>
      <c r="S17" s="81"/>
      <c r="T17" s="81"/>
      <c r="U17" s="81"/>
      <c r="V17" s="81"/>
      <c r="W17" s="81"/>
      <c r="X17" s="15">
        <f>(X10*(1-X14)+X7)*SIN(X8)</f>
        <v>0</v>
      </c>
      <c r="Y17" s="15">
        <f>(Y10*(1-Y14)+Y7)*SIN(Y8)</f>
        <v>4920336.1396168703</v>
      </c>
      <c r="Z17" s="15" t="s">
        <v>65</v>
      </c>
      <c r="AA17" s="15" t="s">
        <v>66</v>
      </c>
    </row>
    <row r="18" spans="1:27" ht="28.5" x14ac:dyDescent="0.2">
      <c r="A18" s="77"/>
      <c r="B18" s="88" t="s">
        <v>123</v>
      </c>
      <c r="C18" s="87">
        <v>6367558.4968699999</v>
      </c>
      <c r="D18" s="87">
        <v>6367558.4968699999</v>
      </c>
      <c r="E18" s="87">
        <v>6367558.4968699999</v>
      </c>
      <c r="F18" s="87">
        <v>6367558.4968699999</v>
      </c>
      <c r="G18" s="87">
        <v>6367558.4968699999</v>
      </c>
      <c r="H18" s="87">
        <v>6367558.4968699999</v>
      </c>
      <c r="I18" s="86">
        <v>6367449.1457700003</v>
      </c>
      <c r="J18" s="86">
        <v>6367449.1457700003</v>
      </c>
      <c r="K18" s="17"/>
      <c r="L18" s="17"/>
      <c r="M18" s="17" t="s">
        <v>122</v>
      </c>
      <c r="N18" s="17" t="s">
        <v>121</v>
      </c>
      <c r="O18" s="79"/>
      <c r="P18" s="81"/>
      <c r="Q18" s="81"/>
      <c r="R18" s="81"/>
      <c r="S18" s="81"/>
      <c r="T18" s="81"/>
      <c r="U18" s="81"/>
      <c r="V18" s="81"/>
      <c r="W18" s="81"/>
      <c r="X18" s="15"/>
      <c r="Y18" s="15"/>
      <c r="Z18" s="15" t="s">
        <v>122</v>
      </c>
      <c r="AA18" s="15" t="s">
        <v>121</v>
      </c>
    </row>
    <row r="19" spans="1:27" x14ac:dyDescent="0.2">
      <c r="A19" s="77"/>
      <c r="B19" s="77" t="s">
        <v>120</v>
      </c>
      <c r="C19" s="77">
        <v>6378245</v>
      </c>
      <c r="D19" s="77">
        <v>6378245</v>
      </c>
      <c r="E19" s="77">
        <v>6378245</v>
      </c>
      <c r="F19" s="77">
        <v>6378245</v>
      </c>
      <c r="G19" s="77">
        <v>6378245</v>
      </c>
      <c r="H19" s="77">
        <v>6378245</v>
      </c>
      <c r="I19" s="80">
        <v>6378137</v>
      </c>
      <c r="J19" s="80">
        <v>6378137</v>
      </c>
      <c r="K19" s="17">
        <f t="shared" ref="K19:L21" si="11">K15</f>
        <v>-848008.10224053496</v>
      </c>
      <c r="L19" s="17">
        <f t="shared" si="11"/>
        <v>-847993.86186138191</v>
      </c>
      <c r="M19" s="17" t="s">
        <v>71</v>
      </c>
      <c r="N19" s="17" t="s">
        <v>72</v>
      </c>
      <c r="O19" s="79"/>
      <c r="P19" s="81"/>
      <c r="Q19" s="81"/>
      <c r="R19" s="81"/>
      <c r="S19" s="81"/>
      <c r="T19" s="81"/>
      <c r="U19" s="81"/>
      <c r="V19" s="81"/>
      <c r="W19" s="81"/>
      <c r="X19" s="15">
        <f t="shared" ref="X19:Y21" si="12">X15</f>
        <v>6378445</v>
      </c>
      <c r="Y19" s="15">
        <f t="shared" si="12"/>
        <v>3784565.6717036585</v>
      </c>
      <c r="Z19" s="15" t="s">
        <v>71</v>
      </c>
      <c r="AA19" s="15" t="s">
        <v>72</v>
      </c>
    </row>
    <row r="20" spans="1:27" x14ac:dyDescent="0.2">
      <c r="A20" s="77"/>
      <c r="B20" s="77" t="s">
        <v>119</v>
      </c>
      <c r="C20" s="77">
        <v>8.1813334016899997E-2</v>
      </c>
      <c r="D20" s="77">
        <v>8.1813334016899997E-2</v>
      </c>
      <c r="E20" s="77">
        <v>8.1813334016899997E-2</v>
      </c>
      <c r="F20" s="77">
        <v>8.1813334016899997E-2</v>
      </c>
      <c r="G20" s="77">
        <v>8.1813334016899997E-2</v>
      </c>
      <c r="H20" s="77">
        <v>8.1813334016899997E-2</v>
      </c>
      <c r="I20" s="80">
        <v>8.1819191042799999E-2</v>
      </c>
      <c r="J20" s="80">
        <v>8.1819191042799999E-2</v>
      </c>
      <c r="K20" s="17">
        <f t="shared" si="11"/>
        <v>-5312100.4187301537</v>
      </c>
      <c r="L20" s="17">
        <f t="shared" si="11"/>
        <v>-5312011.2140116347</v>
      </c>
      <c r="M20" s="17" t="s">
        <v>68</v>
      </c>
      <c r="N20" s="17" t="s">
        <v>69</v>
      </c>
      <c r="O20" s="85"/>
      <c r="P20" s="81"/>
      <c r="Q20" s="81"/>
      <c r="R20" s="81"/>
      <c r="S20" s="81"/>
      <c r="T20" s="81"/>
      <c r="U20" s="81"/>
      <c r="V20" s="81"/>
      <c r="W20" s="81"/>
      <c r="X20" s="15">
        <f t="shared" si="12"/>
        <v>0</v>
      </c>
      <c r="Y20" s="15">
        <f t="shared" si="12"/>
        <v>1409745.2725751647</v>
      </c>
      <c r="Z20" s="15" t="s">
        <v>68</v>
      </c>
      <c r="AA20" s="15" t="s">
        <v>69</v>
      </c>
    </row>
    <row r="21" spans="1:27" x14ac:dyDescent="0.2">
      <c r="A21" s="77"/>
      <c r="B21" s="77" t="s">
        <v>118</v>
      </c>
      <c r="C21" s="77">
        <v>2.7182818284590451</v>
      </c>
      <c r="D21" s="77">
        <v>2.7182818284590451</v>
      </c>
      <c r="E21" s="77">
        <v>2.7182818284590451</v>
      </c>
      <c r="F21" s="77">
        <v>2.7182818284590451</v>
      </c>
      <c r="G21" s="77">
        <v>2.7182818284590451</v>
      </c>
      <c r="H21" s="77">
        <v>2.7182818284590451</v>
      </c>
      <c r="I21" s="77">
        <v>2.7182818284590451</v>
      </c>
      <c r="J21" s="80">
        <v>2.7182818284590451</v>
      </c>
      <c r="K21" s="17">
        <f t="shared" si="11"/>
        <v>-3415904.9524291633</v>
      </c>
      <c r="L21" s="17">
        <f t="shared" si="11"/>
        <v>-3415844.2943253345</v>
      </c>
      <c r="M21" s="17" t="s">
        <v>65</v>
      </c>
      <c r="N21" s="17" t="s">
        <v>66</v>
      </c>
      <c r="O21" s="83" t="s">
        <v>40</v>
      </c>
      <c r="P21" s="81">
        <v>3.3560696017540001E-3</v>
      </c>
      <c r="Q21" s="81">
        <v>3.3560696017540001E-3</v>
      </c>
      <c r="R21" s="81">
        <v>3.3560696017540001E-3</v>
      </c>
      <c r="S21" s="81">
        <v>3.3560696017540001E-3</v>
      </c>
      <c r="T21" s="81">
        <v>3.3560696017540001E-3</v>
      </c>
      <c r="U21" s="81">
        <v>3.3560696017540001E-3</v>
      </c>
      <c r="V21" s="81">
        <v>3.3565514855969998E-3</v>
      </c>
      <c r="W21" s="81">
        <v>3.3565514855969998E-3</v>
      </c>
      <c r="X21" s="15">
        <f t="shared" si="12"/>
        <v>0</v>
      </c>
      <c r="Y21" s="15">
        <f t="shared" si="12"/>
        <v>4920336.1396168703</v>
      </c>
      <c r="Z21" s="15" t="s">
        <v>65</v>
      </c>
      <c r="AA21" s="15" t="s">
        <v>66</v>
      </c>
    </row>
    <row r="22" spans="1:27" x14ac:dyDescent="0.2">
      <c r="A22" s="77"/>
      <c r="B22" s="77"/>
      <c r="C22" s="77"/>
      <c r="D22" s="77"/>
      <c r="E22" s="77"/>
      <c r="F22" s="77"/>
      <c r="G22" s="77"/>
      <c r="H22" s="77"/>
      <c r="I22" s="77"/>
      <c r="J22" s="80"/>
      <c r="K22" s="17">
        <v>-8.4078047999999998E-7</v>
      </c>
      <c r="L22" s="17">
        <v>8.4007643999999999E-7</v>
      </c>
      <c r="M22" s="17" t="s">
        <v>116</v>
      </c>
      <c r="N22" s="17" t="s">
        <v>115</v>
      </c>
      <c r="O22" s="83" t="s">
        <v>117</v>
      </c>
      <c r="P22" s="84">
        <v>6.569986331658E-6</v>
      </c>
      <c r="Q22" s="84">
        <v>6.569986331658E-6</v>
      </c>
      <c r="R22" s="84">
        <v>6.569986331658E-6</v>
      </c>
      <c r="S22" s="84">
        <v>6.569986331658E-6</v>
      </c>
      <c r="T22" s="84">
        <v>6.569986331658E-6</v>
      </c>
      <c r="U22" s="84">
        <v>6.569986331658E-6</v>
      </c>
      <c r="V22" s="84">
        <v>6.5718731484589997E-6</v>
      </c>
      <c r="W22" s="84">
        <v>6.5718731484589997E-6</v>
      </c>
      <c r="X22" s="15">
        <v>-8.4078047999999998E-7</v>
      </c>
      <c r="Y22" s="15">
        <v>8.4007643999999999E-7</v>
      </c>
      <c r="Z22" s="15" t="s">
        <v>116</v>
      </c>
      <c r="AA22" s="15" t="s">
        <v>115</v>
      </c>
    </row>
    <row r="23" spans="1:27" x14ac:dyDescent="0.2">
      <c r="A23" s="77"/>
      <c r="B23" s="77"/>
      <c r="C23" s="77"/>
      <c r="D23" s="77"/>
      <c r="E23" s="77"/>
      <c r="F23" s="77"/>
      <c r="G23" s="77"/>
      <c r="H23" s="77"/>
      <c r="I23" s="77"/>
      <c r="J23" s="80"/>
      <c r="K23" s="17">
        <v>-4.0895996199999997E-6</v>
      </c>
      <c r="L23" s="17">
        <v>4.08960694E-6</v>
      </c>
      <c r="M23" s="17" t="s">
        <v>113</v>
      </c>
      <c r="N23" s="17" t="s">
        <v>112</v>
      </c>
      <c r="O23" s="83" t="s">
        <v>114</v>
      </c>
      <c r="P23" s="84">
        <v>1.7638965196569998E-8</v>
      </c>
      <c r="Q23" s="84">
        <v>1.7638965196569998E-8</v>
      </c>
      <c r="R23" s="84">
        <v>1.7638965196569998E-8</v>
      </c>
      <c r="S23" s="84">
        <v>1.7638965196569998E-8</v>
      </c>
      <c r="T23" s="84">
        <v>1.7638965196569998E-8</v>
      </c>
      <c r="U23" s="84">
        <v>1.7638965196569998E-8</v>
      </c>
      <c r="V23" s="84">
        <v>1.7646564264539999E-8</v>
      </c>
      <c r="W23" s="84">
        <v>1.7646564264539999E-8</v>
      </c>
      <c r="X23" s="15">
        <v>-4.0895996199999997E-6</v>
      </c>
      <c r="Y23" s="15">
        <v>4.08960694E-6</v>
      </c>
      <c r="Z23" s="15" t="s">
        <v>113</v>
      </c>
      <c r="AA23" s="15" t="s">
        <v>112</v>
      </c>
    </row>
    <row r="24" spans="1:27" x14ac:dyDescent="0.2">
      <c r="A24" s="77"/>
      <c r="B24" s="77"/>
      <c r="C24" s="77"/>
      <c r="D24" s="77"/>
      <c r="E24" s="77"/>
      <c r="F24" s="77"/>
      <c r="G24" s="77"/>
      <c r="H24" s="77"/>
      <c r="I24" s="77"/>
      <c r="J24" s="80"/>
      <c r="K24" s="17">
        <v>-2.5614575000000002E-7</v>
      </c>
      <c r="L24" s="17">
        <v>2.5613906999999998E-7</v>
      </c>
      <c r="M24" s="17" t="s">
        <v>110</v>
      </c>
      <c r="N24" s="17" t="s">
        <v>109</v>
      </c>
      <c r="O24" s="83" t="s">
        <v>111</v>
      </c>
      <c r="P24" s="84">
        <v>5.3973798169299997E-11</v>
      </c>
      <c r="Q24" s="84">
        <v>5.3973798169299997E-11</v>
      </c>
      <c r="R24" s="84">
        <v>5.3973798169299997E-11</v>
      </c>
      <c r="S24" s="84">
        <v>5.3973798169299997E-11</v>
      </c>
      <c r="T24" s="84">
        <v>5.3973798169299997E-11</v>
      </c>
      <c r="U24" s="84">
        <v>5.3973798169299997E-11</v>
      </c>
      <c r="V24" s="84">
        <v>5.4004821877600003E-11</v>
      </c>
      <c r="W24" s="84">
        <v>5.4004821877600003E-11</v>
      </c>
      <c r="X24" s="15">
        <v>-2.5614575000000002E-7</v>
      </c>
      <c r="Y24" s="15">
        <v>2.5613906999999998E-7</v>
      </c>
      <c r="Z24" s="15" t="s">
        <v>110</v>
      </c>
      <c r="AA24" s="15" t="s">
        <v>109</v>
      </c>
    </row>
    <row r="25" spans="1:27" x14ac:dyDescent="0.2">
      <c r="A25" s="77"/>
      <c r="B25" s="77" t="s">
        <v>108</v>
      </c>
      <c r="C25" s="77">
        <f t="shared" ref="C25:J25" si="13">2*(ATAN(POWER((1-C20*SIN(C14))/(1+C20*SIN(C14)),C20/2)*TAN(C14/2+C17/4))-C17/4)</f>
        <v>-0.56576030590812199</v>
      </c>
      <c r="D25" s="77">
        <f t="shared" si="13"/>
        <v>-0.56576030590812199</v>
      </c>
      <c r="E25" s="77">
        <f t="shared" si="13"/>
        <v>-0.56576030590812199</v>
      </c>
      <c r="F25" s="77">
        <f t="shared" si="13"/>
        <v>-0.56576030590812199</v>
      </c>
      <c r="G25" s="77">
        <f t="shared" si="13"/>
        <v>-0.56576030590812199</v>
      </c>
      <c r="H25" s="77">
        <f t="shared" si="13"/>
        <v>-0.56576030590812199</v>
      </c>
      <c r="I25" s="77">
        <f t="shared" si="13"/>
        <v>-0.56575986956218971</v>
      </c>
      <c r="J25" s="80">
        <f t="shared" si="13"/>
        <v>-0.56575986956218971</v>
      </c>
      <c r="K25" s="17">
        <v>4.0896000700000002E-6</v>
      </c>
      <c r="L25" s="17">
        <v>-4.0896065000000001E-6</v>
      </c>
      <c r="M25" s="17" t="s">
        <v>107</v>
      </c>
      <c r="N25" s="17" t="s">
        <v>106</v>
      </c>
      <c r="O25" s="79" t="s">
        <v>108</v>
      </c>
      <c r="P25" s="81">
        <f t="shared" ref="P25:W25" si="14">ASIN(COS(P27)*SIN(P28))</f>
        <v>3.1465746821977232E-2</v>
      </c>
      <c r="Q25" s="81">
        <f t="shared" si="14"/>
        <v>2.6225009483359797E-2</v>
      </c>
      <c r="R25" s="81">
        <f t="shared" si="14"/>
        <v>5.0649310477406319E-2</v>
      </c>
      <c r="S25" s="81">
        <f t="shared" si="14"/>
        <v>6.0014475774911258E-2</v>
      </c>
      <c r="T25" s="81">
        <f t="shared" si="14"/>
        <v>0.78714738519449645</v>
      </c>
      <c r="U25" s="81">
        <f t="shared" si="14"/>
        <v>4.304412076239713E-2</v>
      </c>
      <c r="V25" s="81">
        <f t="shared" si="14"/>
        <v>2.7318699949220735E-2</v>
      </c>
      <c r="W25" s="81">
        <f t="shared" si="14"/>
        <v>0.88350362215215705</v>
      </c>
      <c r="X25" s="15">
        <v>4.0896000700000002E-6</v>
      </c>
      <c r="Y25" s="15">
        <v>-4.0896065000000001E-6</v>
      </c>
      <c r="Z25" s="15" t="s">
        <v>107</v>
      </c>
      <c r="AA25" s="15" t="s">
        <v>106</v>
      </c>
    </row>
    <row r="26" spans="1:27" x14ac:dyDescent="0.2">
      <c r="A26" s="77"/>
      <c r="B26" s="77" t="s">
        <v>105</v>
      </c>
      <c r="C26" s="77">
        <f t="shared" ref="C26:J26" si="15">C13-C16</f>
        <v>10484.539206408819</v>
      </c>
      <c r="D26" s="77">
        <f t="shared" si="15"/>
        <v>10484.531885722234</v>
      </c>
      <c r="E26" s="77">
        <f t="shared" si="15"/>
        <v>10484.610328575836</v>
      </c>
      <c r="F26" s="77">
        <f t="shared" si="15"/>
        <v>10484.616194821379</v>
      </c>
      <c r="G26" s="77">
        <f t="shared" si="15"/>
        <v>10484.576294655424</v>
      </c>
      <c r="H26" s="77">
        <f t="shared" si="15"/>
        <v>10484.488300972302</v>
      </c>
      <c r="I26" s="77">
        <f t="shared" si="15"/>
        <v>10484.488300972302</v>
      </c>
      <c r="J26" s="80">
        <f t="shared" si="15"/>
        <v>10484.575567434902</v>
      </c>
      <c r="K26" s="17">
        <v>-8.4078195999999995E-7</v>
      </c>
      <c r="L26" s="17">
        <v>8.4076292000000002E-7</v>
      </c>
      <c r="M26" s="17" t="s">
        <v>104</v>
      </c>
      <c r="N26" s="17" t="s">
        <v>103</v>
      </c>
      <c r="O26" s="83" t="s">
        <v>105</v>
      </c>
      <c r="P26" s="81">
        <f>ATAN((TAN(P27))/COS(P28))+0.000000006</f>
        <v>-0.53864299491319367</v>
      </c>
      <c r="Q26" s="81">
        <f>ATAN((TAN(Q27))/COS(Q28))+0.000000006</f>
        <v>-0.52524673034773517</v>
      </c>
      <c r="R26" s="81">
        <f>ATAN((TAN(R27))/COS(R28))+0.000000006</f>
        <v>-0.3784524231603057</v>
      </c>
      <c r="S26" s="81">
        <f>ATAN((TAN(S27))/COS(S28))+0.000000006</f>
        <v>-0.41301808563892856</v>
      </c>
      <c r="T26" s="81">
        <f>ATAN((TAN(T27))/COS(T28))+0.000000006</f>
        <v>8.093028137020071E-2</v>
      </c>
      <c r="U26" s="81">
        <f>ATAN((TAN(U27))/COS(U28))</f>
        <v>-0.57684640627025086</v>
      </c>
      <c r="V26" s="81">
        <f>ATAN((TAN(V27))/COS(V28))</f>
        <v>-1.0057123358676121</v>
      </c>
      <c r="W26" s="81">
        <f>ATAN((TAN(W27))/COS(W28))</f>
        <v>2.496326984126216E-2</v>
      </c>
      <c r="X26" s="15">
        <v>-8.4078195999999995E-7</v>
      </c>
      <c r="Y26" s="15">
        <v>8.4076292000000002E-7</v>
      </c>
      <c r="Z26" s="15" t="s">
        <v>104</v>
      </c>
      <c r="AA26" s="15" t="s">
        <v>103</v>
      </c>
    </row>
    <row r="27" spans="1:27" x14ac:dyDescent="0.2">
      <c r="A27" s="77"/>
      <c r="B27" s="77"/>
      <c r="C27" s="77"/>
      <c r="D27" s="77"/>
      <c r="E27" s="77"/>
      <c r="F27" s="77"/>
      <c r="G27" s="77"/>
      <c r="H27" s="77"/>
      <c r="I27" s="77"/>
      <c r="J27" s="80"/>
      <c r="K27" s="17">
        <v>1.73888389E-6</v>
      </c>
      <c r="L27" s="17">
        <v>-1.73888787E-6</v>
      </c>
      <c r="M27" s="17" t="s">
        <v>101</v>
      </c>
      <c r="N27" s="17" t="s">
        <v>100</v>
      </c>
      <c r="O27" s="83" t="s">
        <v>102</v>
      </c>
      <c r="P27" s="81">
        <f t="shared" ref="P27:W27" si="16">2*ATAN(EXP(P29))-PI()/2</f>
        <v>-0.53834721827005372</v>
      </c>
      <c r="Q27" s="81">
        <f t="shared" si="16"/>
        <v>-0.52504746631534616</v>
      </c>
      <c r="R27" s="81">
        <f t="shared" si="16"/>
        <v>-0.37794257288491528</v>
      </c>
      <c r="S27" s="81">
        <f t="shared" si="16"/>
        <v>-0.41222928059956687</v>
      </c>
      <c r="T27" s="81">
        <f t="shared" si="16"/>
        <v>5.7094832665616657E-2</v>
      </c>
      <c r="U27" s="81">
        <f t="shared" si="16"/>
        <v>-0.57624383749537056</v>
      </c>
      <c r="V27" s="81">
        <f t="shared" si="16"/>
        <v>-1.0051241223063399</v>
      </c>
      <c r="W27" s="81">
        <f t="shared" si="16"/>
        <v>1.5836885307498605E-2</v>
      </c>
      <c r="X27" s="15">
        <v>1.73888389E-6</v>
      </c>
      <c r="Y27" s="15">
        <v>-1.73888787E-6</v>
      </c>
      <c r="Z27" s="15" t="s">
        <v>101</v>
      </c>
      <c r="AA27" s="15" t="s">
        <v>100</v>
      </c>
    </row>
    <row r="28" spans="1:27" x14ac:dyDescent="0.2">
      <c r="A28" s="77"/>
      <c r="B28" s="77" t="s">
        <v>99</v>
      </c>
      <c r="C28" s="77">
        <f t="shared" ref="C28:J28" si="17">ATAN(SIN(C12)/(COS(C12)*COS(C13-C16)))</f>
        <v>0.90153990664704553</v>
      </c>
      <c r="D28" s="77">
        <f t="shared" si="17"/>
        <v>0.89545086972474031</v>
      </c>
      <c r="E28" s="77">
        <f t="shared" si="17"/>
        <v>0.96527087957598046</v>
      </c>
      <c r="F28" s="77">
        <f t="shared" si="17"/>
        <v>0.97091012182501368</v>
      </c>
      <c r="G28" s="77">
        <f t="shared" si="17"/>
        <v>0.93372012798861304</v>
      </c>
      <c r="H28" s="77">
        <f t="shared" si="17"/>
        <v>0.8609233086459448</v>
      </c>
      <c r="I28" s="77">
        <f t="shared" si="17"/>
        <v>0.86092283201713782</v>
      </c>
      <c r="J28" s="80">
        <f t="shared" si="17"/>
        <v>0.93306690547071225</v>
      </c>
      <c r="K28" s="17">
        <v>2.5613864000000001E-7</v>
      </c>
      <c r="L28" s="17">
        <v>-2.5614617999999999E-7</v>
      </c>
      <c r="M28" s="17" t="s">
        <v>97</v>
      </c>
      <c r="N28" s="17" t="s">
        <v>96</v>
      </c>
      <c r="O28" s="79" t="s">
        <v>98</v>
      </c>
      <c r="P28" s="81">
        <f>P34+(P30*SIN(2*P34)*COSH(2*P35)+P31*SIN(4*P34)*COSH(4*P35)+P32*SIN(6*P34)*COSH(6*P35)+P33*SIN(8*P34)*COSH(8*P35))</f>
        <v>3.6651719007729171E-2</v>
      </c>
      <c r="Q28" s="81">
        <f>Q34+(Q30*SIN(2*Q34)*COSH(2*Q35)+Q31*SIN(4*Q34)*COSH(4*Q35)+Q32*SIN(6*Q34)*COSH(6*Q35)+Q33*SIN(8*Q34)*COSH(8*Q35))</f>
        <v>3.0308579751775044E-2</v>
      </c>
      <c r="R28" s="81">
        <f>R34+(R30*SIN(2*R34)*COSH(2*R35)+R31*SIN(4*R34)*COSH(4*R35)+R32*SIN(6*R34)*COSH(6*R35)+R33*SIN(8*R34)*COSH(8*R35))</f>
        <v>5.4498947197400768E-2</v>
      </c>
      <c r="S28" s="81">
        <f>S34+(S30*SIN(2*S34)*COSH(2*S35)+S31*SIN(4*S34)*COSH(4*S35)+S32*SIN(6*S34)*COSH(6*S35)+S33*SIN(8*S34)*COSH(8*S35))</f>
        <v>6.5509076415418144E-2</v>
      </c>
      <c r="T28" s="81">
        <f>T34+(T30*SIN(2*T34)*COSH(2*T35)+T31*SIN(4*T34)*COSH(4*T35)+T32*SIN(6*T34)*COSH(6*T35)+T33*SIN(8*T34)*COSH(8*T35))</f>
        <v>0.7887865807681923</v>
      </c>
      <c r="U28" s="81">
        <f>U39+U34+(U30*SIN(2*U34)*COSH(2*U35)+U31*SIN(4*U34)*COSH(4*U35)+U32*SIN(6*U34)*COSH(6*U35)+U33*SIN(8*U34)*COSH(8*U35))</f>
        <v>5.1340439582833637E-2</v>
      </c>
      <c r="V28" s="81">
        <f>V39+V34+(V30*SIN(2*V34)*COSH(2*V35)+V31*SIN(4*V34)*COSH(4*V35)+V32*SIN(6*V34)*COSH(6*V35)+V33*SIN(8*V34)*COSH(8*V35))</f>
        <v>5.0985045936785232E-2</v>
      </c>
      <c r="W28" s="81">
        <f>W39+W34+(W30*SIN(2*W34)*COSH(2*W35)+W31*SIN(4*W34)*COSH(4*W35)+W32*SIN(6*W34)*COSH(6*W35)+W33*SIN(8*W34)*COSH(8*W35))</f>
        <v>0.88365643531838201</v>
      </c>
      <c r="X28" s="15">
        <v>2.5613864000000001E-7</v>
      </c>
      <c r="Y28" s="15">
        <v>-2.5614617999999999E-7</v>
      </c>
      <c r="Z28" s="15" t="s">
        <v>97</v>
      </c>
      <c r="AA28" s="15" t="s">
        <v>96</v>
      </c>
    </row>
    <row r="29" spans="1:27" x14ac:dyDescent="0.2">
      <c r="A29" s="77"/>
      <c r="B29" s="77" t="s">
        <v>95</v>
      </c>
      <c r="C29" s="77">
        <f t="shared" ref="C29:J29" si="18">0.5*LN((1+COS(C12)*SIN(C13-C16))/(1-COS(C12)*SIN(C13-C16)))</f>
        <v>-0.92862081574141497</v>
      </c>
      <c r="D29" s="77">
        <f t="shared" si="18"/>
        <v>-0.92196650972420668</v>
      </c>
      <c r="E29" s="77">
        <f t="shared" si="18"/>
        <v>-0.99205790598863819</v>
      </c>
      <c r="F29" s="77">
        <f t="shared" si="18"/>
        <v>-0.9971683486013585</v>
      </c>
      <c r="G29" s="77">
        <f t="shared" si="18"/>
        <v>-0.96200923519323378</v>
      </c>
      <c r="H29" s="77">
        <f t="shared" si="18"/>
        <v>-0.88201580104684452</v>
      </c>
      <c r="I29" s="77">
        <f t="shared" si="18"/>
        <v>-0.88201619343277193</v>
      </c>
      <c r="J29" s="80">
        <f t="shared" si="18"/>
        <v>-0.96136089173597683</v>
      </c>
      <c r="K29" s="17">
        <v>-1.73888494E-6</v>
      </c>
      <c r="L29" s="17">
        <v>1.73888682E-6</v>
      </c>
      <c r="M29" s="17" t="s">
        <v>93</v>
      </c>
      <c r="N29" s="17" t="s">
        <v>92</v>
      </c>
      <c r="O29" s="79" t="s">
        <v>94</v>
      </c>
      <c r="P29" s="81">
        <f t="shared" ref="P29:W29" si="19">P35+(P30*COS(2*P34)*SINH(2*P35)+P31*COS(4*P34)*SINH(4*P35)+P32*COS(6*P34)*SINH(6*P35)+(P33*COS(8*P34)*SINH(8*P35)))</f>
        <v>-0.56640972283935553</v>
      </c>
      <c r="Q29" s="81">
        <f t="shared" si="19"/>
        <v>-0.55097964882929706</v>
      </c>
      <c r="R29" s="81">
        <f t="shared" si="19"/>
        <v>-0.38727543001002873</v>
      </c>
      <c r="S29" s="81">
        <f t="shared" si="19"/>
        <v>-0.4244263809353731</v>
      </c>
      <c r="T29" s="81">
        <f t="shared" si="19"/>
        <v>5.7125877781443547E-2</v>
      </c>
      <c r="U29" s="81">
        <f t="shared" si="19"/>
        <v>-0.61106762166807427</v>
      </c>
      <c r="V29" s="81">
        <f t="shared" si="19"/>
        <v>-1.23571306348363</v>
      </c>
      <c r="W29" s="81">
        <f t="shared" si="19"/>
        <v>1.5837547349124223E-2</v>
      </c>
      <c r="X29" s="15">
        <v>-1.73888494E-6</v>
      </c>
      <c r="Y29" s="15">
        <v>1.73888682E-6</v>
      </c>
      <c r="Z29" s="15" t="s">
        <v>93</v>
      </c>
      <c r="AA29" s="15" t="s">
        <v>92</v>
      </c>
    </row>
    <row r="30" spans="1:27" x14ac:dyDescent="0.2">
      <c r="A30" s="77"/>
      <c r="B30" s="77" t="s">
        <v>91</v>
      </c>
      <c r="C30" s="77">
        <v>8.3761175714030004E-4</v>
      </c>
      <c r="D30" s="77">
        <v>8.3761175714030004E-4</v>
      </c>
      <c r="E30" s="77">
        <v>8.3761175714030004E-4</v>
      </c>
      <c r="F30" s="77">
        <v>8.3761175714030004E-4</v>
      </c>
      <c r="G30" s="77">
        <v>8.3761175714030004E-4</v>
      </c>
      <c r="H30" s="77">
        <v>8.3761175714030004E-4</v>
      </c>
      <c r="I30" s="80">
        <v>8.377318247344E-4</v>
      </c>
      <c r="J30" s="80">
        <v>8.377318247344E-4</v>
      </c>
      <c r="K30" s="17">
        <v>-8.4077363000000002E-7</v>
      </c>
      <c r="L30" s="17">
        <v>8.4077124999999996E-7</v>
      </c>
      <c r="M30" s="17" t="s">
        <v>89</v>
      </c>
      <c r="N30" s="17" t="s">
        <v>88</v>
      </c>
      <c r="O30" s="79" t="s">
        <v>90</v>
      </c>
      <c r="P30" s="81">
        <v>-8.3761210042229998E-4</v>
      </c>
      <c r="Q30" s="81">
        <v>-8.3761210042229998E-4</v>
      </c>
      <c r="R30" s="81">
        <v>-8.3761210042229998E-4</v>
      </c>
      <c r="S30" s="81">
        <v>-8.3761210042229998E-4</v>
      </c>
      <c r="T30" s="81">
        <v>-8.3761210042229998E-4</v>
      </c>
      <c r="U30" s="81">
        <v>-8.3761210042229998E-4</v>
      </c>
      <c r="V30" s="81">
        <v>-8.3773216816410004E-4</v>
      </c>
      <c r="W30" s="81">
        <v>-8.3773216816410004E-4</v>
      </c>
      <c r="X30" s="15">
        <v>-8.4077363000000002E-7</v>
      </c>
      <c r="Y30" s="15">
        <v>8.4077124999999996E-7</v>
      </c>
      <c r="Z30" s="15" t="s">
        <v>89</v>
      </c>
      <c r="AA30" s="15" t="s">
        <v>88</v>
      </c>
    </row>
    <row r="31" spans="1:27" x14ac:dyDescent="0.2">
      <c r="A31" s="77"/>
      <c r="B31" s="77" t="s">
        <v>87</v>
      </c>
      <c r="C31" s="77">
        <v>7.6063461415339995E-7</v>
      </c>
      <c r="D31" s="77">
        <v>7.6063461415339995E-7</v>
      </c>
      <c r="E31" s="77">
        <v>7.6063461415339995E-7</v>
      </c>
      <c r="F31" s="77">
        <v>7.6063461415339995E-7</v>
      </c>
      <c r="G31" s="77">
        <v>7.6063461415339995E-7</v>
      </c>
      <c r="H31" s="77">
        <v>7.6063461415339995E-7</v>
      </c>
      <c r="I31" s="80">
        <v>7.6085277888259997E-7</v>
      </c>
      <c r="J31" s="80">
        <v>7.6085277888259997E-7</v>
      </c>
      <c r="K31" s="17">
        <v>-33.429699999999997</v>
      </c>
      <c r="L31" s="17">
        <v>-33.429699999999997</v>
      </c>
      <c r="M31" s="17" t="s">
        <v>85</v>
      </c>
      <c r="N31" s="17" t="s">
        <v>85</v>
      </c>
      <c r="O31" s="79" t="s">
        <v>86</v>
      </c>
      <c r="P31" s="81">
        <v>-5.9041685702119999E-8</v>
      </c>
      <c r="Q31" s="81">
        <v>-5.9041685702119999E-8</v>
      </c>
      <c r="R31" s="81">
        <v>-5.9041685702119999E-8</v>
      </c>
      <c r="S31" s="81">
        <v>-5.9041685702119999E-8</v>
      </c>
      <c r="T31" s="81">
        <v>-5.9041685702119999E-8</v>
      </c>
      <c r="U31" s="81">
        <v>-5.9041685702119999E-8</v>
      </c>
      <c r="V31" s="81">
        <v>-5.9058696260830001E-8</v>
      </c>
      <c r="W31" s="81">
        <v>-5.9058696260830001E-8</v>
      </c>
      <c r="X31" s="15">
        <v>-33.429699999999997</v>
      </c>
      <c r="Y31" s="15">
        <v>-33.429699999999997</v>
      </c>
      <c r="Z31" s="15" t="s">
        <v>85</v>
      </c>
      <c r="AA31" s="15" t="s">
        <v>85</v>
      </c>
    </row>
    <row r="32" spans="1:27" x14ac:dyDescent="0.2">
      <c r="A32" s="77"/>
      <c r="B32" s="77" t="s">
        <v>84</v>
      </c>
      <c r="C32" s="77">
        <v>1.197122824063E-9</v>
      </c>
      <c r="D32" s="77">
        <v>1.197122824063E-9</v>
      </c>
      <c r="E32" s="77">
        <v>1.197122824063E-9</v>
      </c>
      <c r="F32" s="77">
        <v>1.197122824063E-9</v>
      </c>
      <c r="G32" s="77">
        <v>1.197122824063E-9</v>
      </c>
      <c r="H32" s="77">
        <v>1.197122824063E-9</v>
      </c>
      <c r="I32" s="80">
        <v>1.197638019173E-9</v>
      </c>
      <c r="J32" s="80">
        <v>1.197638019173E-9</v>
      </c>
      <c r="K32" s="17">
        <v>146.5746</v>
      </c>
      <c r="L32" s="17">
        <v>146.5746</v>
      </c>
      <c r="M32" s="17" t="s">
        <v>82</v>
      </c>
      <c r="N32" s="17" t="s">
        <v>82</v>
      </c>
      <c r="O32" s="79" t="s">
        <v>83</v>
      </c>
      <c r="P32" s="81">
        <v>-1.6727683394650001E-10</v>
      </c>
      <c r="Q32" s="81">
        <v>-1.6727683394650001E-10</v>
      </c>
      <c r="R32" s="81">
        <v>-1.6727683394650001E-10</v>
      </c>
      <c r="S32" s="81">
        <v>-1.6727683394650001E-10</v>
      </c>
      <c r="T32" s="81">
        <v>-1.6727683394650001E-10</v>
      </c>
      <c r="U32" s="81">
        <v>-1.6727683394650001E-10</v>
      </c>
      <c r="V32" s="81">
        <v>-1.673488904988E-10</v>
      </c>
      <c r="W32" s="81">
        <v>-1.673488904988E-10</v>
      </c>
      <c r="X32" s="15">
        <v>146.5746</v>
      </c>
      <c r="Y32" s="15">
        <v>146.5746</v>
      </c>
      <c r="Z32" s="15" t="s">
        <v>82</v>
      </c>
      <c r="AA32" s="15" t="s">
        <v>82</v>
      </c>
    </row>
    <row r="33" spans="1:27" x14ac:dyDescent="0.2">
      <c r="A33" s="77"/>
      <c r="B33" s="77" t="s">
        <v>81</v>
      </c>
      <c r="C33" s="77">
        <v>2.4419726161459999E-12</v>
      </c>
      <c r="D33" s="77">
        <v>2.4419726161459999E-12</v>
      </c>
      <c r="E33" s="77">
        <v>2.4419726161459999E-12</v>
      </c>
      <c r="F33" s="77">
        <v>2.4419726161459999E-12</v>
      </c>
      <c r="G33" s="77">
        <v>2.4419726161459999E-12</v>
      </c>
      <c r="H33" s="77">
        <v>2.4419726161459999E-12</v>
      </c>
      <c r="I33" s="80">
        <v>2.4433762425000001E-12</v>
      </c>
      <c r="J33" s="80">
        <v>2.4433762425000001E-12</v>
      </c>
      <c r="K33" s="17">
        <v>76.286500000000004</v>
      </c>
      <c r="L33" s="17">
        <v>76.286500000000004</v>
      </c>
      <c r="M33" s="17" t="s">
        <v>79</v>
      </c>
      <c r="N33" s="17" t="s">
        <v>79</v>
      </c>
      <c r="O33" s="79" t="s">
        <v>80</v>
      </c>
      <c r="P33" s="81">
        <v>-2.1664925229899999E-13</v>
      </c>
      <c r="Q33" s="81">
        <v>-2.1664925229899999E-13</v>
      </c>
      <c r="R33" s="81">
        <v>-2.1664925229899999E-13</v>
      </c>
      <c r="S33" s="81">
        <v>-2.1664925229899999E-13</v>
      </c>
      <c r="T33" s="81">
        <v>-2.1664925229899999E-13</v>
      </c>
      <c r="U33" s="81">
        <v>-2.1664925229899999E-13</v>
      </c>
      <c r="V33" s="81">
        <v>-2.1677378055969999E-13</v>
      </c>
      <c r="W33" s="81">
        <v>-2.1677378055969999E-13</v>
      </c>
      <c r="X33" s="15">
        <v>76.286500000000004</v>
      </c>
      <c r="Y33" s="15">
        <v>76.286500000000004</v>
      </c>
      <c r="Z33" s="15" t="s">
        <v>79</v>
      </c>
      <c r="AA33" s="15" t="s">
        <v>79</v>
      </c>
    </row>
    <row r="34" spans="1:27" x14ac:dyDescent="0.2">
      <c r="A34" s="77"/>
      <c r="B34" s="77"/>
      <c r="C34" s="77"/>
      <c r="D34" s="77"/>
      <c r="E34" s="77"/>
      <c r="F34" s="77"/>
      <c r="G34" s="77"/>
      <c r="H34" s="77"/>
      <c r="I34" s="80"/>
      <c r="J34" s="80"/>
      <c r="K34" s="17">
        <f>K19+K22*(K19-K31)+K23*(K20-K32)+K24*(K21-K33)-K31</f>
        <v>-847951.35962762113</v>
      </c>
      <c r="L34" s="17">
        <f>L19+L22*L19+L23*L20+L24*L21+L31</f>
        <v>-848050.60291015357</v>
      </c>
      <c r="M34" s="17" t="s">
        <v>72</v>
      </c>
      <c r="N34" s="17" t="s">
        <v>71</v>
      </c>
      <c r="O34" s="83" t="s">
        <v>78</v>
      </c>
      <c r="P34" s="81">
        <f t="shared" ref="P34:W34" si="20">P36/C18</f>
        <v>3.6757363834917747E-2</v>
      </c>
      <c r="Q34" s="81">
        <f t="shared" si="20"/>
        <v>3.0393802390998131E-2</v>
      </c>
      <c r="R34" s="81">
        <f t="shared" si="20"/>
        <v>5.4619197090649753E-2</v>
      </c>
      <c r="S34" s="81">
        <f t="shared" si="20"/>
        <v>6.5660913457114861E-2</v>
      </c>
      <c r="T34" s="81">
        <f t="shared" si="20"/>
        <v>0.78962963413537646</v>
      </c>
      <c r="U34" s="81">
        <f t="shared" si="20"/>
        <v>5.1499709058219732E-2</v>
      </c>
      <c r="V34" s="81">
        <f t="shared" si="20"/>
        <v>5.1504559337213644E-2</v>
      </c>
      <c r="W34" s="81">
        <f t="shared" si="20"/>
        <v>0.88447816227075882</v>
      </c>
      <c r="X34" s="15">
        <f>X19+X22*(X19-X31)+X23*(X20-X32)+X24*(X21-X33)-X31</f>
        <v>6378473.0674188165</v>
      </c>
      <c r="Y34" s="15">
        <f>Y19+Y22*Y19+Y23*Y20+Y24*Y21+Y31</f>
        <v>3784542.446922488</v>
      </c>
      <c r="Z34" s="15" t="s">
        <v>72</v>
      </c>
      <c r="AA34" s="15" t="s">
        <v>71</v>
      </c>
    </row>
    <row r="35" spans="1:27" x14ac:dyDescent="0.2">
      <c r="A35" s="77"/>
      <c r="B35" s="77"/>
      <c r="C35" s="77"/>
      <c r="D35" s="77"/>
      <c r="E35" s="77"/>
      <c r="F35" s="77"/>
      <c r="G35" s="77"/>
      <c r="H35" s="77"/>
      <c r="I35" s="77"/>
      <c r="J35" s="80"/>
      <c r="K35" s="17">
        <f>K20+K25*(K19-K31)+K26*(K20-K32)+K27*(K21-K33)-K32</f>
        <v>-5312251.9347607391</v>
      </c>
      <c r="L35" s="17">
        <f>L20+L25*L19+L26*L20+L27*L21+L32</f>
        <v>-5311859.6978222746</v>
      </c>
      <c r="M35" s="17" t="s">
        <v>69</v>
      </c>
      <c r="N35" s="17" t="s">
        <v>68</v>
      </c>
      <c r="O35" s="83" t="s">
        <v>77</v>
      </c>
      <c r="P35" s="81">
        <f t="shared" ref="P35:W35" si="21">P37/C18</f>
        <v>-0.5675754303705598</v>
      </c>
      <c r="Q35" s="81">
        <f t="shared" si="21"/>
        <v>-0.55210247847539795</v>
      </c>
      <c r="R35" s="81">
        <f t="shared" si="21"/>
        <v>-0.38798847442299184</v>
      </c>
      <c r="S35" s="81">
        <f t="shared" si="21"/>
        <v>-0.42522099947482644</v>
      </c>
      <c r="T35" s="81">
        <f t="shared" si="21"/>
        <v>5.7125052542467324E-2</v>
      </c>
      <c r="U35" s="81">
        <f t="shared" si="21"/>
        <v>-0.6123632899354905</v>
      </c>
      <c r="V35" s="81">
        <f t="shared" si="21"/>
        <v>-1.2406643820680867</v>
      </c>
      <c r="W35" s="81">
        <f t="shared" si="21"/>
        <v>1.5832320877757589E-2</v>
      </c>
      <c r="X35" s="15">
        <f>X20+X25*(X19-X31)+X26*(X20-X32)+X27*(X21-X33)-X32</f>
        <v>-120.48918358349179</v>
      </c>
      <c r="Y35" s="15">
        <f>Y20+Y25*Y19+Y26*Y20+Y27*Y21+Y32</f>
        <v>1409868.9991395161</v>
      </c>
      <c r="Z35" s="15" t="s">
        <v>69</v>
      </c>
      <c r="AA35" s="15" t="s">
        <v>68</v>
      </c>
    </row>
    <row r="36" spans="1:27" x14ac:dyDescent="0.2">
      <c r="A36" s="77"/>
      <c r="B36" s="77" t="s">
        <v>76</v>
      </c>
      <c r="C36" s="77">
        <f t="shared" ref="C36:J36" si="22">C18*(C28+(C30*SIN(2*C28)*COSH(2*C29))+(C31*SIN(4*C28)*COSH(4*C29))+(C32*SIN(6*C28)*COSH(6*C29))+(C33*SIN(8*C28)*COSH(8*C29)))</f>
        <v>5757592.5340425028</v>
      </c>
      <c r="D36" s="77">
        <f t="shared" si="22"/>
        <v>5718656.3676802618</v>
      </c>
      <c r="E36" s="77">
        <f t="shared" si="22"/>
        <v>6164829.7879653955</v>
      </c>
      <c r="F36" s="77">
        <f t="shared" si="22"/>
        <v>6200836.6558935037</v>
      </c>
      <c r="G36" s="77">
        <f t="shared" si="22"/>
        <v>5963291.1351055475</v>
      </c>
      <c r="H36" s="77">
        <f t="shared" si="22"/>
        <v>5497791.8970858427</v>
      </c>
      <c r="I36" s="77">
        <f t="shared" si="22"/>
        <v>5497696.7247163653</v>
      </c>
      <c r="J36" s="80">
        <f t="shared" si="22"/>
        <v>5959017.261066217</v>
      </c>
      <c r="K36" s="17">
        <f>K21+K28*(K19-K31)+K29*(K20-K32)+K30*(K21-K33)-K33</f>
        <v>-3415969.346675002</v>
      </c>
      <c r="L36" s="17">
        <f>L17+L28*L19+L29*L20+L30*L17+L33</f>
        <v>-3415779.8995449115</v>
      </c>
      <c r="M36" s="17" t="s">
        <v>66</v>
      </c>
      <c r="N36" s="17" t="s">
        <v>65</v>
      </c>
      <c r="O36" s="79" t="s">
        <v>76</v>
      </c>
      <c r="P36" s="81">
        <f>C45+P46-(P46*P46*P46)/(12*C42*C42)+(P46*P47*P47)/(4*C42*C42)</f>
        <v>234054.66440957255</v>
      </c>
      <c r="Q36" s="81">
        <f>D45+Q46-(Q46*Q46*Q46)/(12*D42*D42)+(Q46*Q47*Q47)/(4*D42*D42)</f>
        <v>193534.31466698786</v>
      </c>
      <c r="R36" s="81">
        <f>E45+R46-(R46*R46*R46)/(12*E42*E42)+(R46*R47*R47)/(4*E42*E42)</f>
        <v>347790.93252678402</v>
      </c>
      <c r="S36" s="81">
        <f>F45+S46-(S46*S46*S46)/(12*F42*F42)+(S46*S47*S47)/(4*F42*F42)</f>
        <v>418099.70739609742</v>
      </c>
      <c r="T36" s="81">
        <f>(T49+4700000)/G9</f>
        <v>5028012.8862190656</v>
      </c>
      <c r="U36" s="81">
        <f>(U49)/H9</f>
        <v>327927.40999999997</v>
      </c>
      <c r="V36" s="81">
        <f>(V49)/I9</f>
        <v>327952.66235500132</v>
      </c>
      <c r="W36" s="81">
        <f>(W49+5300000)/J9</f>
        <v>5631869.7188031627</v>
      </c>
      <c r="X36" s="15">
        <f>X21+X28*(X19-X31)+X29*(X20-X32)+X30*(X21-X33)-X33</f>
        <v>-74.652406193705261</v>
      </c>
      <c r="Y36" s="15">
        <f>Y17+Y28*Y19+Y29*Y20+Y30*Y17+Y33</f>
        <v>4920418.0449794717</v>
      </c>
      <c r="Z36" s="15" t="s">
        <v>66</v>
      </c>
      <c r="AA36" s="15" t="s">
        <v>65</v>
      </c>
    </row>
    <row r="37" spans="1:27" x14ac:dyDescent="0.2">
      <c r="A37" s="77"/>
      <c r="B37" s="77" t="s">
        <v>75</v>
      </c>
      <c r="C37" s="77">
        <f t="shared" ref="C37:J37" si="23">C18*(C29+(C30*COS(2*C28)*SINH(2*C29))+(C31*COS(4*C28)*SINH(4*C29))+(C32*COS(6*C28)*SINH(6*C29))+(C33*COS(8*C28)*SINH(8*C29)))</f>
        <v>-5909122.4378527412</v>
      </c>
      <c r="D37" s="77">
        <f t="shared" si="23"/>
        <v>-5867000.3386005247</v>
      </c>
      <c r="E37" s="77">
        <f t="shared" si="23"/>
        <v>-6310193.3018106613</v>
      </c>
      <c r="F37" s="77">
        <f t="shared" si="23"/>
        <v>-6342460.3561747009</v>
      </c>
      <c r="G37" s="77">
        <f t="shared" si="23"/>
        <v>-6120332.1842305418</v>
      </c>
      <c r="H37" s="77">
        <f t="shared" si="23"/>
        <v>-5613935.7589925248</v>
      </c>
      <c r="I37" s="77">
        <f t="shared" si="23"/>
        <v>-5613841.512395584</v>
      </c>
      <c r="J37" s="80">
        <f t="shared" si="23"/>
        <v>-6116127.456348164</v>
      </c>
      <c r="K37" s="17"/>
      <c r="L37" s="17"/>
      <c r="M37" s="17" t="s">
        <v>74</v>
      </c>
      <c r="N37" s="17" t="s">
        <v>73</v>
      </c>
      <c r="O37" s="79" t="s">
        <v>75</v>
      </c>
      <c r="P37" s="81">
        <f>P47-(P46*P46*P47)/(4*C42*C42)+(P47*P47*P47)/(12*C42*C42)+(P46*P46*P46*P46*P47)/(16*C42*C42*C42*C42)-(P46*P46*P47*P47*P47)/(8*C42*C42*C42*C42*C42*C42)+(P47*P47*P47*P47*P47)/(80*C42*C42*C42*C42)-(P46*P46*P46*P46*P46*P46*P47)/(64*C42*C42*C42*C42*C42*C42)</f>
        <v>-3614069.7542707049</v>
      </c>
      <c r="Q37" s="81">
        <f>Q47-(Q46*Q46*Q47)/(4*D42*D42)+(Q47*Q47*Q47)/(12*D42*D42)+(Q46*Q46*Q46*Q46*Q47)/(16*D42*D42*D42*D42)-(Q46*Q46*Q47*Q47*Q47)/(8*D42*D42*D42*D42*D42*D42)+(Q47*Q47*Q47*Q47*Q47)/(80*D42*D42*D42*D42)-(Q46*Q46*Q46*Q46*Q46*Q46*Q47)/(64*D42*D42*D42*D42*D42*D42)</f>
        <v>-3515544.8279590067</v>
      </c>
      <c r="R37" s="81">
        <f>R47-(R46*R46*R47)/(4*E42*E42)+(R47*R47*R47)/(12*E42*E42)+(R46*R46*R46*R46*R47)/(16*E42*E42*E42*E42)-(R46*R46*R47*R47*R47)/(8*E42*E42*E42*E42*E42*E42)+(R47*R47*R47*R47*R47)/(80*E42*E42*E42*E42)-(R46*R46*R46*R46*R46*R46*R47)/(64*E42*E42*E42*E42*E42*E42)</f>
        <v>-2470539.3069997504</v>
      </c>
      <c r="S37" s="81">
        <f>S47-(S46*S46*S47)/(4*F42*F42)+(S47*S47*S47)/(12*F42*F42)+(S46*S46*S46*S46*S47)/(16*F42*F42*F42*F42)-(S46*S46*S47*S47*S47)/(8*F42*F42*F42*F42*F42*F42)+(S47*S47*S47*S47*S47)/(80*F42*F42*F42*F42)-(S46*S46*S46*S46*S46*S46*S47)/(64*F42*F42*F42*F42*F42*F42)</f>
        <v>-2707619.588253485</v>
      </c>
      <c r="T37" s="81">
        <f>(T50-237000)/G9</f>
        <v>363747.113700933</v>
      </c>
      <c r="U37" s="81">
        <f>IF($B$150=1,(U50-3500000)/H9,(U50-4500000)/H9)</f>
        <v>-3899259.07</v>
      </c>
      <c r="V37" s="81">
        <f>IF($B$151=1,(V50-5500000)/I9,IF($B$151=2,(V50-6500000)/I9,IF($B$151=3,(V50-7500000)/I9,(V50-8500000)/I9)))</f>
        <v>-7899867.3597867042</v>
      </c>
      <c r="W37" s="81">
        <f>(W50-500000)/J9</f>
        <v>100811.49804863409</v>
      </c>
      <c r="X37" s="15"/>
      <c r="Y37" s="15"/>
      <c r="Z37" s="15" t="s">
        <v>74</v>
      </c>
      <c r="AA37" s="15" t="s">
        <v>73</v>
      </c>
    </row>
    <row r="38" spans="1:27" x14ac:dyDescent="0.2">
      <c r="A38" s="77"/>
      <c r="B38" s="77"/>
      <c r="C38" s="77"/>
      <c r="D38" s="77"/>
      <c r="E38" s="77"/>
      <c r="F38" s="77"/>
      <c r="G38" s="77"/>
      <c r="H38" s="77"/>
      <c r="I38" s="77"/>
      <c r="J38" s="80"/>
      <c r="K38" s="17">
        <f t="shared" ref="K38:L40" si="24">K34</f>
        <v>-847951.35962762113</v>
      </c>
      <c r="L38" s="17">
        <f t="shared" si="24"/>
        <v>-848050.60291015357</v>
      </c>
      <c r="M38" s="17" t="s">
        <v>72</v>
      </c>
      <c r="N38" s="17" t="s">
        <v>71</v>
      </c>
      <c r="O38" s="79"/>
      <c r="P38" s="81"/>
      <c r="Q38" s="81"/>
      <c r="R38" s="81"/>
      <c r="S38" s="81"/>
      <c r="T38" s="81"/>
      <c r="U38" s="81"/>
      <c r="V38" s="81"/>
      <c r="W38" s="81"/>
      <c r="X38" s="15">
        <f t="shared" ref="X38:Y40" si="25">X34</f>
        <v>6378473.0674188165</v>
      </c>
      <c r="Y38" s="15">
        <f t="shared" si="25"/>
        <v>3784542.446922488</v>
      </c>
      <c r="Z38" s="15" t="s">
        <v>72</v>
      </c>
      <c r="AA38" s="15" t="s">
        <v>71</v>
      </c>
    </row>
    <row r="39" spans="1:27" x14ac:dyDescent="0.2">
      <c r="A39" s="77"/>
      <c r="B39" s="77" t="s">
        <v>70</v>
      </c>
      <c r="C39" s="77"/>
      <c r="D39" s="77"/>
      <c r="E39" s="77"/>
      <c r="F39" s="77"/>
      <c r="G39" s="77"/>
      <c r="H39" s="77"/>
      <c r="I39" s="77"/>
      <c r="J39" s="80"/>
      <c r="K39" s="17">
        <f t="shared" si="24"/>
        <v>-5312251.9347607391</v>
      </c>
      <c r="L39" s="17">
        <f t="shared" si="24"/>
        <v>-5311859.6978222746</v>
      </c>
      <c r="M39" s="17" t="s">
        <v>69</v>
      </c>
      <c r="N39" s="17" t="s">
        <v>68</v>
      </c>
      <c r="O39" s="79"/>
      <c r="P39" s="81"/>
      <c r="Q39" s="81"/>
      <c r="R39" s="81"/>
      <c r="S39" s="81"/>
      <c r="T39" s="81"/>
      <c r="U39" s="81"/>
      <c r="V39" s="81"/>
      <c r="W39" s="81"/>
      <c r="X39" s="15">
        <f t="shared" si="25"/>
        <v>-120.48918358349179</v>
      </c>
      <c r="Y39" s="15">
        <f t="shared" si="25"/>
        <v>1409868.9991395161</v>
      </c>
      <c r="Z39" s="15" t="s">
        <v>69</v>
      </c>
      <c r="AA39" s="15" t="s">
        <v>68</v>
      </c>
    </row>
    <row r="40" spans="1:27" x14ac:dyDescent="0.2">
      <c r="A40" s="77"/>
      <c r="B40" s="77" t="s">
        <v>67</v>
      </c>
      <c r="C40" s="77">
        <v>5467000</v>
      </c>
      <c r="D40" s="77">
        <v>5806000</v>
      </c>
      <c r="E40" s="77">
        <v>5999000</v>
      </c>
      <c r="F40" s="77">
        <v>5627000</v>
      </c>
      <c r="G40" s="77"/>
      <c r="H40" s="77"/>
      <c r="I40" s="77"/>
      <c r="J40" s="80"/>
      <c r="K40" s="17">
        <f t="shared" si="24"/>
        <v>-3415969.346675002</v>
      </c>
      <c r="L40" s="17">
        <f t="shared" si="24"/>
        <v>-3415779.8995449115</v>
      </c>
      <c r="M40" s="17" t="s">
        <v>66</v>
      </c>
      <c r="N40" s="17" t="s">
        <v>65</v>
      </c>
      <c r="O40" s="79"/>
      <c r="P40" s="81"/>
      <c r="Q40" s="81"/>
      <c r="R40" s="81"/>
      <c r="S40" s="81"/>
      <c r="T40" s="81"/>
      <c r="U40" s="81"/>
      <c r="V40" s="81"/>
      <c r="W40" s="81"/>
      <c r="X40" s="15">
        <f t="shared" si="25"/>
        <v>-74.652406193705261</v>
      </c>
      <c r="Y40" s="15">
        <f t="shared" si="25"/>
        <v>4920418.0449794717</v>
      </c>
      <c r="Z40" s="15" t="s">
        <v>66</v>
      </c>
      <c r="AA40" s="15" t="s">
        <v>65</v>
      </c>
    </row>
    <row r="41" spans="1:27" x14ac:dyDescent="0.2">
      <c r="A41" s="77"/>
      <c r="B41" s="77" t="s">
        <v>64</v>
      </c>
      <c r="C41" s="77">
        <v>4637000</v>
      </c>
      <c r="D41" s="77">
        <v>4603000</v>
      </c>
      <c r="E41" s="77">
        <v>3501000</v>
      </c>
      <c r="F41" s="77">
        <v>3703000</v>
      </c>
      <c r="G41" s="77"/>
      <c r="H41" s="77"/>
      <c r="I41" s="77"/>
      <c r="J41" s="80"/>
      <c r="K41" s="17"/>
      <c r="L41" s="17"/>
      <c r="M41" s="17"/>
      <c r="N41" s="17"/>
      <c r="O41" s="79"/>
      <c r="P41" s="81"/>
      <c r="Q41" s="81"/>
      <c r="R41" s="81"/>
      <c r="S41" s="81"/>
      <c r="T41" s="81"/>
      <c r="U41" s="81"/>
      <c r="V41" s="81"/>
      <c r="W41" s="81"/>
      <c r="X41" s="15"/>
      <c r="Y41" s="15"/>
      <c r="Z41" s="15"/>
      <c r="AA41" s="15"/>
    </row>
    <row r="42" spans="1:27" ht="28.5" x14ac:dyDescent="0.2">
      <c r="A42" s="77"/>
      <c r="B42" s="82" t="s">
        <v>63</v>
      </c>
      <c r="C42" s="77">
        <f>C19*POWER(1-C20*C20,1/2)/(1-C20*C20*SIN(RADIANS(C43))*SIN(RADIANS(C43)))</f>
        <v>6382390.1649836507</v>
      </c>
      <c r="D42" s="77">
        <f>D19*POWER(1-D20*D20,1/2)/(1-D20*D20*SIN(RADIANS(D43))*SIN(RADIANS(D43)))</f>
        <v>6384119.4273045957</v>
      </c>
      <c r="E42" s="77">
        <f>E19*POWER(1-E20*E20,1/2)/(1-E20*E20*SIN(RADIANS(E43))*SIN(RADIANS(E43)))</f>
        <v>6384536.7935654661</v>
      </c>
      <c r="F42" s="77">
        <f>F19*POWER(1-F20*F20,1/2)/(1-F20*F20*SIN(RADIANS(F43))*SIN(RADIANS(F43)))</f>
        <v>6383155.1651298553</v>
      </c>
      <c r="G42" s="77"/>
      <c r="H42" s="77"/>
      <c r="I42" s="77"/>
      <c r="J42" s="80"/>
      <c r="K42" s="17">
        <v>6378137</v>
      </c>
      <c r="L42" s="17">
        <v>6378245</v>
      </c>
      <c r="M42" s="17" t="s">
        <v>62</v>
      </c>
      <c r="N42" s="17" t="s">
        <v>61</v>
      </c>
      <c r="O42" s="79"/>
      <c r="P42" s="81"/>
      <c r="Q42" s="81"/>
      <c r="R42" s="81"/>
      <c r="S42" s="81"/>
      <c r="T42" s="81"/>
      <c r="U42" s="81"/>
      <c r="V42" s="81"/>
      <c r="W42" s="81"/>
      <c r="X42" s="15">
        <v>6378137</v>
      </c>
      <c r="Y42" s="15">
        <v>6378245</v>
      </c>
      <c r="Z42" s="15" t="s">
        <v>62</v>
      </c>
      <c r="AA42" s="15" t="s">
        <v>61</v>
      </c>
    </row>
    <row r="43" spans="1:27" x14ac:dyDescent="0.2">
      <c r="A43" s="77"/>
      <c r="B43" s="77" t="s">
        <v>60</v>
      </c>
      <c r="C43" s="77">
        <f t="shared" ref="C43:F44" si="26">C7</f>
        <v>50.625</v>
      </c>
      <c r="D43" s="77">
        <f t="shared" si="26"/>
        <v>53.001944444444447</v>
      </c>
      <c r="E43" s="77">
        <f t="shared" si="26"/>
        <v>53.5833333333333</v>
      </c>
      <c r="F43" s="77">
        <f t="shared" si="26"/>
        <v>51.670833333333334</v>
      </c>
      <c r="G43" s="77"/>
      <c r="H43" s="77"/>
      <c r="I43" s="77"/>
      <c r="J43" s="80"/>
      <c r="K43" s="17">
        <v>6356752.3141400004</v>
      </c>
      <c r="L43" s="17">
        <v>6356863.01877</v>
      </c>
      <c r="M43" s="17" t="s">
        <v>59</v>
      </c>
      <c r="N43" s="17" t="s">
        <v>58</v>
      </c>
      <c r="O43" s="79"/>
      <c r="P43" s="81"/>
      <c r="Q43" s="81"/>
      <c r="R43" s="81"/>
      <c r="S43" s="81"/>
      <c r="T43" s="81"/>
      <c r="U43" s="81"/>
      <c r="V43" s="81"/>
      <c r="W43" s="81"/>
      <c r="X43" s="15">
        <v>6356752.3141400004</v>
      </c>
      <c r="Y43" s="15">
        <v>6356863.01877</v>
      </c>
      <c r="Z43" s="15" t="s">
        <v>59</v>
      </c>
      <c r="AA43" s="15" t="s">
        <v>58</v>
      </c>
    </row>
    <row r="44" spans="1:27" x14ac:dyDescent="0.2">
      <c r="A44" s="77"/>
      <c r="B44" s="77" t="s">
        <v>57</v>
      </c>
      <c r="C44" s="77">
        <f t="shared" si="26"/>
        <v>21.083333333333332</v>
      </c>
      <c r="D44" s="77">
        <f t="shared" si="26"/>
        <v>21.502777777777776</v>
      </c>
      <c r="E44" s="77">
        <f t="shared" si="26"/>
        <v>17.008333333333333</v>
      </c>
      <c r="F44" s="77">
        <f t="shared" si="26"/>
        <v>16.672222222222221</v>
      </c>
      <c r="G44" s="77"/>
      <c r="H44" s="77"/>
      <c r="I44" s="77"/>
      <c r="J44" s="80"/>
      <c r="K44" s="17">
        <f>PI()</f>
        <v>3.1415926535897931</v>
      </c>
      <c r="L44" s="17">
        <f>PI()</f>
        <v>3.1415926535897931</v>
      </c>
      <c r="M44" s="17" t="s">
        <v>56</v>
      </c>
      <c r="N44" s="17" t="s">
        <v>56</v>
      </c>
      <c r="O44" s="79"/>
      <c r="P44" s="81"/>
      <c r="Q44" s="81"/>
      <c r="R44" s="81"/>
      <c r="S44" s="81"/>
      <c r="T44" s="81"/>
      <c r="U44" s="81"/>
      <c r="V44" s="81"/>
      <c r="W44" s="81"/>
      <c r="X44" s="15">
        <f>PI()</f>
        <v>3.1415926535897931</v>
      </c>
      <c r="Y44" s="15">
        <f>PI()</f>
        <v>3.1415926535897931</v>
      </c>
      <c r="Z44" s="15" t="s">
        <v>56</v>
      </c>
      <c r="AA44" s="15" t="s">
        <v>56</v>
      </c>
    </row>
    <row r="45" spans="1:27" x14ac:dyDescent="0.2">
      <c r="A45" s="77"/>
      <c r="B45" s="77" t="s">
        <v>55</v>
      </c>
      <c r="C45" s="77">
        <v>5610467.5770416996</v>
      </c>
      <c r="D45" s="77">
        <v>5874939.8741149995</v>
      </c>
      <c r="E45" s="77">
        <v>5939644.7701116996</v>
      </c>
      <c r="F45" s="77">
        <v>5726819.6678288002</v>
      </c>
      <c r="G45" s="77"/>
      <c r="H45" s="77"/>
      <c r="I45" s="77"/>
      <c r="J45" s="80"/>
      <c r="K45" s="17">
        <v>8.1819191042799999E-2</v>
      </c>
      <c r="L45" s="17">
        <v>8.1813334016899997E-2</v>
      </c>
      <c r="M45" s="17" t="s">
        <v>54</v>
      </c>
      <c r="N45" s="17" t="s">
        <v>53</v>
      </c>
      <c r="O45" s="79"/>
      <c r="P45" s="81"/>
      <c r="Q45" s="81"/>
      <c r="R45" s="81"/>
      <c r="S45" s="81"/>
      <c r="T45" s="81"/>
      <c r="U45" s="81"/>
      <c r="V45" s="81"/>
      <c r="W45" s="81"/>
      <c r="X45" s="15">
        <v>8.1819191042799999E-2</v>
      </c>
      <c r="Y45" s="15">
        <v>8.1813334016899997E-2</v>
      </c>
      <c r="Z45" s="15" t="s">
        <v>54</v>
      </c>
      <c r="AA45" s="15" t="s">
        <v>53</v>
      </c>
    </row>
    <row r="46" spans="1:27" x14ac:dyDescent="0.2">
      <c r="A46" s="77"/>
      <c r="B46" s="77" t="s">
        <v>52</v>
      </c>
      <c r="C46" s="77">
        <f>(2*C42*SIN((C36-C45)/C42))/(COS((C36-C45)/C42)+COSH(C37/C42))</f>
        <v>119611.18138926882</v>
      </c>
      <c r="D46" s="77">
        <f>(2*D42*SIN((D36-D45)/D42))/(COS((D36-D45)/D42)+COSH(D37/D42))</f>
        <v>-127433.02010002329</v>
      </c>
      <c r="E46" s="77">
        <f>(2*E42*SIN((E36-E45)/E42))/(COS((E36-E45)/E42)+COSH(E37/E42))</f>
        <v>178053.88687634203</v>
      </c>
      <c r="F46" s="77">
        <f>(2*F42*SIN((F36-F45)/F42))/(COS((F36-F45)/F42)+COSH(F37/F42))</f>
        <v>373949.42228089622</v>
      </c>
      <c r="G46" s="77"/>
      <c r="H46" s="77"/>
      <c r="I46" s="77"/>
      <c r="J46" s="80"/>
      <c r="K46" s="17">
        <f>K45*K45</f>
        <v>6.6943800228982039E-3</v>
      </c>
      <c r="L46" s="17">
        <f>L45*L45</f>
        <v>6.6934216229608458E-3</v>
      </c>
      <c r="M46" s="17" t="s">
        <v>51</v>
      </c>
      <c r="N46" s="17" t="s">
        <v>51</v>
      </c>
      <c r="O46" s="79" t="s">
        <v>52</v>
      </c>
      <c r="P46" s="81">
        <f>(P49-C40)/C9</f>
        <v>-5140100.6101220241</v>
      </c>
      <c r="Q46" s="81">
        <f>(Q49-D40)/D9</f>
        <v>-5479168.4236847367</v>
      </c>
      <c r="R46" s="81">
        <f>(R49-E40)/E9</f>
        <v>-5672207.0314062806</v>
      </c>
      <c r="S46" s="81">
        <f>(S49-F40)/F9</f>
        <v>-5300132.616523304</v>
      </c>
      <c r="T46" s="81"/>
      <c r="U46" s="81"/>
      <c r="V46" s="81"/>
      <c r="W46" s="81"/>
      <c r="X46" s="15">
        <f>X45*X45</f>
        <v>6.6943800228982039E-3</v>
      </c>
      <c r="Y46" s="15">
        <f>Y45*Y45</f>
        <v>6.6934216229608458E-3</v>
      </c>
      <c r="Z46" s="15" t="s">
        <v>51</v>
      </c>
      <c r="AA46" s="15" t="s">
        <v>51</v>
      </c>
    </row>
    <row r="47" spans="1:27" x14ac:dyDescent="0.2">
      <c r="A47" s="77"/>
      <c r="B47" s="77" t="s">
        <v>50</v>
      </c>
      <c r="C47" s="77">
        <f>(2*C42*SINH(C37/C42))/(COS((C36-C45)/C42)+COSH(C37/C42))</f>
        <v>-5520908.0903310515</v>
      </c>
      <c r="D47" s="77">
        <f>(2*D42*SINH(D37/D42))/(COS((D36-D45)/D42)+COSH(D37/D42))</f>
        <v>-5486879.4064704031</v>
      </c>
      <c r="E47" s="77">
        <f>(2*E42*SINH(E37/E42))/(COS((E36-E45)/E42)+COSH(E37/E42))</f>
        <v>-5843620.4360719612</v>
      </c>
      <c r="F47" s="77">
        <f>(2*F42*SINH(F37/F42))/(COS((F36-F45)/F42)+COSH(F37/F42))</f>
        <v>-5873864.097269712</v>
      </c>
      <c r="G47" s="77"/>
      <c r="H47" s="77"/>
      <c r="I47" s="77"/>
      <c r="J47" s="80"/>
      <c r="K47" s="17">
        <f>(K42-K49)*(K42+K49)</f>
        <v>11741589464105.451</v>
      </c>
      <c r="L47" s="17">
        <f>(L42-L49)*(L42+L49)</f>
        <v>11746966005580.176</v>
      </c>
      <c r="M47" s="17" t="s">
        <v>49</v>
      </c>
      <c r="N47" s="17" t="s">
        <v>49</v>
      </c>
      <c r="O47" s="79" t="s">
        <v>50</v>
      </c>
      <c r="P47" s="81">
        <f>(P50-C41)/C9</f>
        <v>-4037066.4832966588</v>
      </c>
      <c r="Q47" s="81">
        <f>(Q50-D41)/D9</f>
        <v>-4003059.681936387</v>
      </c>
      <c r="R47" s="81">
        <f>(R50-E41)/E9</f>
        <v>-2900839.2378475694</v>
      </c>
      <c r="S47" s="81">
        <f>(S50-F41)/F9</f>
        <v>-3102879.6459291857</v>
      </c>
      <c r="T47" s="81"/>
      <c r="U47" s="81"/>
      <c r="V47" s="81"/>
      <c r="W47" s="81"/>
      <c r="X47" s="15">
        <f>(X42-X49)*(X42+X49)</f>
        <v>-4287095535.8460059</v>
      </c>
      <c r="Y47" s="15">
        <f>(Y42-Y49)*(Y42+Y49)</f>
        <v>24371517152732.285</v>
      </c>
      <c r="Z47" s="15" t="s">
        <v>49</v>
      </c>
      <c r="AA47" s="15" t="s">
        <v>49</v>
      </c>
    </row>
    <row r="48" spans="1:27" ht="15" thickBot="1" x14ac:dyDescent="0.25">
      <c r="A48" s="77"/>
      <c r="B48" s="77"/>
      <c r="C48" s="77"/>
      <c r="D48" s="77"/>
      <c r="E48" s="77"/>
      <c r="F48" s="77"/>
      <c r="G48" s="77"/>
      <c r="H48" s="77"/>
      <c r="I48" s="77"/>
      <c r="J48" s="80"/>
      <c r="K48" s="17">
        <f>K49-K46*K49</f>
        <v>5343489.6023906544</v>
      </c>
      <c r="L48" s="17">
        <f>L49-L46*L49</f>
        <v>5343125.5581849525</v>
      </c>
      <c r="M48" s="17" t="s">
        <v>48</v>
      </c>
      <c r="N48" s="17" t="s">
        <v>48</v>
      </c>
      <c r="O48" s="79"/>
      <c r="P48" s="78"/>
      <c r="Q48" s="78"/>
      <c r="R48" s="78"/>
      <c r="S48" s="78"/>
      <c r="T48" s="78"/>
      <c r="U48" s="78"/>
      <c r="V48" s="78"/>
      <c r="W48" s="78"/>
      <c r="X48" s="15">
        <f>X49-X46*X49</f>
        <v>6335773.1458700942</v>
      </c>
      <c r="Y48" s="15">
        <f>Y49-Y46*Y49</f>
        <v>4011592.80920238</v>
      </c>
      <c r="Z48" s="15" t="s">
        <v>48</v>
      </c>
      <c r="AA48" s="15" t="s">
        <v>48</v>
      </c>
    </row>
    <row r="49" spans="1:27" ht="15.75" thickTop="1" thickBot="1" x14ac:dyDescent="0.25">
      <c r="A49" s="77"/>
      <c r="B49" s="77" t="s">
        <v>47</v>
      </c>
      <c r="C49" s="76">
        <f>C9*C46+C40</f>
        <v>5586587.2591529908</v>
      </c>
      <c r="D49" s="76">
        <f>D9*D46+D40</f>
        <v>5678592.4665039964</v>
      </c>
      <c r="E49" s="76">
        <f>E9*E46+E40</f>
        <v>6177018.2760989666</v>
      </c>
      <c r="F49" s="76">
        <f>F9*F46+F40</f>
        <v>6000874.63239644</v>
      </c>
      <c r="G49" s="76">
        <f>G9*G36-4700000</f>
        <v>1263189.7591562504</v>
      </c>
      <c r="H49" s="76">
        <f>H9*H36-0</f>
        <v>5497791.8970858427</v>
      </c>
      <c r="I49" s="76">
        <f>I9*I36-0</f>
        <v>5497273.4020685619</v>
      </c>
      <c r="J49" s="75">
        <f>J9*J36-5300000</f>
        <v>654845.94898346998</v>
      </c>
      <c r="K49" s="17">
        <f>POWER((POWER(K38,2)+POWER(K39,2)),1/2)</f>
        <v>5379502.0333357574</v>
      </c>
      <c r="L49" s="17">
        <f>POWER((POWER(L38,2)+POWER(L39,2)),1/2)</f>
        <v>5379130.3455525991</v>
      </c>
      <c r="M49" s="17" t="s">
        <v>46</v>
      </c>
      <c r="N49" s="17" t="s">
        <v>46</v>
      </c>
      <c r="O49" s="74" t="s">
        <v>13</v>
      </c>
      <c r="P49" s="73">
        <f t="shared" ref="P49:W49" si="27">$C$132</f>
        <v>327927.40999999997</v>
      </c>
      <c r="Q49" s="73">
        <f t="shared" si="27"/>
        <v>327927.40999999997</v>
      </c>
      <c r="R49" s="73">
        <f t="shared" si="27"/>
        <v>327927.40999999997</v>
      </c>
      <c r="S49" s="73">
        <f t="shared" si="27"/>
        <v>327927.40999999997</v>
      </c>
      <c r="T49" s="73">
        <f t="shared" si="27"/>
        <v>327927.40999999997</v>
      </c>
      <c r="U49" s="73">
        <f t="shared" si="27"/>
        <v>327927.40999999997</v>
      </c>
      <c r="V49" s="73">
        <f t="shared" si="27"/>
        <v>327927.40999999997</v>
      </c>
      <c r="W49" s="73">
        <f t="shared" si="27"/>
        <v>327927.40999999997</v>
      </c>
      <c r="X49" s="15">
        <f>POWER((POWER(X38,2)+POWER(X39,2)),1/2)</f>
        <v>6378473.0685568349</v>
      </c>
      <c r="Y49" s="15">
        <f>POWER((POWER(Y38,2)+POWER(Y39,2)),1/2)</f>
        <v>4038625.0293005309</v>
      </c>
      <c r="Z49" s="15" t="s">
        <v>46</v>
      </c>
      <c r="AA49" s="15" t="s">
        <v>46</v>
      </c>
    </row>
    <row r="50" spans="1:27" ht="15" thickTop="1" x14ac:dyDescent="0.2">
      <c r="A50" s="77"/>
      <c r="B50" s="77" t="s">
        <v>45</v>
      </c>
      <c r="C50" s="76">
        <f>C9*C47+C41</f>
        <v>-882803.90871298499</v>
      </c>
      <c r="D50" s="76">
        <f>D9*D47+D41</f>
        <v>-882782.03058910929</v>
      </c>
      <c r="E50" s="76">
        <f>E9*E47+E41</f>
        <v>-2341451.7119847471</v>
      </c>
      <c r="F50" s="76">
        <f>F9*F47+F41</f>
        <v>-2169689.3244502582</v>
      </c>
      <c r="G50" s="76">
        <f>G9*G37+237000</f>
        <v>-5883228.1385834096</v>
      </c>
      <c r="H50" s="76">
        <f>IF($B$150=1,H9*H37+3500000,H9*H37+4500000)</f>
        <v>-1113935.7589925248</v>
      </c>
      <c r="I50" s="76">
        <f>IF($B$151=1,I9*I37+5500000,IF($B$151=2,I9*I37+6500000,IF($B$151=3,I9*I37+7500000,I9*I37+8500000)))</f>
        <v>2886590.7534008706</v>
      </c>
      <c r="J50" s="75">
        <f>J9*J37+500000</f>
        <v>-5611846.1671287203</v>
      </c>
      <c r="K50" s="17">
        <f>ATAN((K40+0)/K49)</f>
        <v>-0.56575611622014599</v>
      </c>
      <c r="L50" s="17">
        <f>ATAN((L40+0)/L49)</f>
        <v>-0.56576228642969384</v>
      </c>
      <c r="M50" s="17" t="s">
        <v>44</v>
      </c>
      <c r="N50" s="17" t="s">
        <v>44</v>
      </c>
      <c r="O50" s="74" t="s">
        <v>14</v>
      </c>
      <c r="P50" s="73">
        <f t="shared" ref="P50:W50" si="28">$C$133</f>
        <v>600740.93000000005</v>
      </c>
      <c r="Q50" s="73">
        <f t="shared" si="28"/>
        <v>600740.93000000005</v>
      </c>
      <c r="R50" s="73">
        <f t="shared" si="28"/>
        <v>600740.93000000005</v>
      </c>
      <c r="S50" s="73">
        <f t="shared" si="28"/>
        <v>600740.93000000005</v>
      </c>
      <c r="T50" s="73">
        <f t="shared" si="28"/>
        <v>600740.93000000005</v>
      </c>
      <c r="U50" s="73">
        <f t="shared" si="28"/>
        <v>600740.93000000005</v>
      </c>
      <c r="V50" s="73">
        <f t="shared" si="28"/>
        <v>600740.93000000005</v>
      </c>
      <c r="W50" s="73">
        <f t="shared" si="28"/>
        <v>600740.93000000005</v>
      </c>
      <c r="X50" s="15">
        <f>ATAN((X40+0)/X49)</f>
        <v>-1.1703805187843676E-5</v>
      </c>
      <c r="Y50" s="15">
        <f>ATAN((Y40+0)/Y49)</f>
        <v>0.88350707968233333</v>
      </c>
      <c r="Z50" s="15" t="s">
        <v>44</v>
      </c>
      <c r="AA50" s="15" t="s">
        <v>44</v>
      </c>
    </row>
    <row r="51" spans="1:27" x14ac:dyDescent="0.2">
      <c r="A51" s="72"/>
      <c r="B51" s="72"/>
      <c r="C51" s="72"/>
      <c r="D51" s="72"/>
      <c r="E51" s="72"/>
      <c r="F51" s="72"/>
      <c r="G51" s="72"/>
      <c r="H51" s="72"/>
      <c r="I51" s="72"/>
      <c r="J51" s="72"/>
      <c r="K51" s="17">
        <f>K45*SIN(K50)</f>
        <v>-4.3859526729606559E-2</v>
      </c>
      <c r="L51" s="17">
        <f>L45*SIN(L50)</f>
        <v>-4.3856813193441417E-2</v>
      </c>
      <c r="M51" s="17" t="s">
        <v>43</v>
      </c>
      <c r="N51" s="17" t="s">
        <v>43</v>
      </c>
      <c r="O51" s="11"/>
      <c r="P51" s="11"/>
      <c r="Q51" s="11"/>
      <c r="R51" s="11"/>
      <c r="S51" s="11"/>
      <c r="T51" s="11"/>
      <c r="U51" s="10"/>
      <c r="V51" s="10"/>
      <c r="W51" s="11"/>
      <c r="X51" s="15">
        <f>X45*SIN(X50)</f>
        <v>-9.575958725700337E-7</v>
      </c>
      <c r="Y51" s="15">
        <f>Y45*SIN(Y50)</f>
        <v>6.3239144332043418E-2</v>
      </c>
      <c r="Z51" s="15" t="s">
        <v>43</v>
      </c>
      <c r="AA51" s="15" t="s">
        <v>43</v>
      </c>
    </row>
    <row r="52" spans="1:27" x14ac:dyDescent="0.2">
      <c r="K52" s="17">
        <f>K42*K45*K51/POWER(1-K51*K51,1/2)</f>
        <v>-22910.316302533112</v>
      </c>
      <c r="L52" s="17">
        <f>L42*L45*L51/POWER(1-L51*L51,1/2)</f>
        <v>-22907.644089080011</v>
      </c>
      <c r="M52" s="17" t="s">
        <v>42</v>
      </c>
      <c r="N52" s="17" t="s">
        <v>42</v>
      </c>
      <c r="O52" s="11"/>
      <c r="P52" s="11"/>
      <c r="Q52" s="11"/>
      <c r="R52" s="11"/>
      <c r="S52" s="11"/>
      <c r="T52" s="11"/>
      <c r="U52" s="10"/>
      <c r="V52" s="10"/>
      <c r="W52" s="10"/>
      <c r="X52" s="15">
        <f>X42*X45*X51/POWER(1-X51*X51,1/2)</f>
        <v>-0.49972524577321636</v>
      </c>
      <c r="Y52" s="15">
        <f>Y42*Y45*Y51/POWER(1-Y51*Y51,1/2)</f>
        <v>33065.982191416872</v>
      </c>
      <c r="Z52" s="15" t="s">
        <v>42</v>
      </c>
      <c r="AA52" s="15" t="s">
        <v>42</v>
      </c>
    </row>
    <row r="53" spans="1:27" x14ac:dyDescent="0.2">
      <c r="K53" s="17">
        <f>ATAN((K40+K52)/K49)</f>
        <v>-0.56878529733585681</v>
      </c>
      <c r="L53" s="17">
        <f>ATAN((L40+L52)/L49)</f>
        <v>-0.56879130002234768</v>
      </c>
      <c r="M53" s="17" t="s">
        <v>41</v>
      </c>
      <c r="N53" s="17" t="s">
        <v>41</v>
      </c>
      <c r="O53" s="11"/>
      <c r="P53" s="11"/>
      <c r="Q53" s="11"/>
      <c r="R53" s="11"/>
      <c r="S53" s="11"/>
      <c r="T53" s="11"/>
      <c r="U53" s="10"/>
      <c r="V53" s="10"/>
      <c r="W53" s="10"/>
      <c r="X53" s="15">
        <f>ATAN((X40+X52)/X49)</f>
        <v>-1.1782150779387794E-5</v>
      </c>
      <c r="Y53" s="15">
        <f>ATAN((Y40+Y52)/Y49)</f>
        <v>0.88678949031645904</v>
      </c>
      <c r="Z53" s="15" t="s">
        <v>41</v>
      </c>
      <c r="AA53" s="15" t="s">
        <v>41</v>
      </c>
    </row>
    <row r="54" spans="1:27" x14ac:dyDescent="0.2">
      <c r="K54" s="17">
        <f>K45*SIN(K53)</f>
        <v>-4.4068551974037279E-2</v>
      </c>
      <c r="L54" s="17">
        <f>L45*SIN(L53)</f>
        <v>-4.4065811105433443E-2</v>
      </c>
      <c r="M54" s="17" t="s">
        <v>40</v>
      </c>
      <c r="N54" s="17" t="s">
        <v>40</v>
      </c>
      <c r="O54" s="11"/>
      <c r="P54" s="11"/>
      <c r="Q54" s="11"/>
      <c r="R54" s="11"/>
      <c r="S54" s="11"/>
      <c r="T54" s="11"/>
      <c r="U54" s="10"/>
      <c r="V54" s="10"/>
      <c r="W54" s="10"/>
      <c r="X54" s="15">
        <f>X45*SIN(X53)</f>
        <v>-9.6400604549150105E-7</v>
      </c>
      <c r="Y54" s="15">
        <f>Y45*SIN(Y53)</f>
        <v>6.340918013794504E-2</v>
      </c>
      <c r="Z54" s="15" t="s">
        <v>40</v>
      </c>
      <c r="AA54" s="15" t="s">
        <v>40</v>
      </c>
    </row>
    <row r="55" spans="1:27" ht="15" x14ac:dyDescent="0.25">
      <c r="C55" s="2" t="s">
        <v>146</v>
      </c>
      <c r="D55" s="71" t="s">
        <v>145</v>
      </c>
      <c r="E55" s="71" t="s">
        <v>144</v>
      </c>
      <c r="F55" s="2" t="s">
        <v>143</v>
      </c>
      <c r="K55" s="17">
        <f>K42*K45*K54/POWER(1-K54*K54,1/2)</f>
        <v>-23019.713983549133</v>
      </c>
      <c r="L55" s="17">
        <f>L42*L45*L54/POWER(1-L54*L54,1/2)</f>
        <v>-23017.021447512951</v>
      </c>
      <c r="M55" s="17" t="s">
        <v>39</v>
      </c>
      <c r="N55" s="17" t="s">
        <v>39</v>
      </c>
      <c r="O55" s="11"/>
      <c r="P55" s="11"/>
      <c r="Q55" s="11"/>
      <c r="R55" s="11"/>
      <c r="S55" s="11"/>
      <c r="T55" s="11"/>
      <c r="U55" s="10"/>
      <c r="V55" s="10"/>
      <c r="W55" s="10"/>
      <c r="X55" s="15">
        <f>X42*X45*X54/POWER(1-X54*X54,1/2)</f>
        <v>-0.50307042021515991</v>
      </c>
      <c r="Y55" s="15">
        <f>Y42*Y45*Y54/POWER(1-Y54*Y54,1/2)</f>
        <v>33155.247595268869</v>
      </c>
      <c r="Z55" s="15" t="s">
        <v>39</v>
      </c>
      <c r="AA55" s="15" t="s">
        <v>39</v>
      </c>
    </row>
    <row r="56" spans="1:27" ht="15" thickBot="1" x14ac:dyDescent="0.25">
      <c r="K56" s="17">
        <f>ATAN((K40+K55)/K49)</f>
        <v>-0.56879973375307868</v>
      </c>
      <c r="L56" s="17">
        <f>ATAN((L40+L55)/L49)</f>
        <v>-0.56880573464432493</v>
      </c>
      <c r="M56" s="17" t="s">
        <v>38</v>
      </c>
      <c r="N56" s="17" t="s">
        <v>38</v>
      </c>
      <c r="O56" s="11"/>
      <c r="P56" s="11"/>
      <c r="Q56" s="11"/>
      <c r="R56" s="11"/>
      <c r="S56" s="11"/>
      <c r="T56" s="11"/>
      <c r="U56" s="10"/>
      <c r="V56" s="10"/>
      <c r="W56" s="10"/>
      <c r="X56" s="15">
        <f>ATAN((X40+X55)/X49)</f>
        <v>-1.1782675226917089E-5</v>
      </c>
      <c r="Y56" s="15">
        <f>ATAN((Y40+Y55)/Y49)</f>
        <v>0.88679831596370495</v>
      </c>
      <c r="Z56" s="15" t="s">
        <v>38</v>
      </c>
      <c r="AA56" s="15" t="s">
        <v>38</v>
      </c>
    </row>
    <row r="57" spans="1:27" ht="15.75" thickBot="1" x14ac:dyDescent="0.3">
      <c r="B57" s="70" t="s">
        <v>34</v>
      </c>
      <c r="C57" s="7">
        <f>IF($B$148=1,P5,IF($B$148=2,Q5,IF($B$148=3,R5,IF($B$148=4,S5,IF($B$148=6,U5,IF($B$148=7,Y60,IF($B$148=8,Y60,IF($B$148=5,T5,0))))))))</f>
        <v>50.809802140936775</v>
      </c>
      <c r="D57" s="7">
        <f>IF($B$148&lt;9,C57,IF($B$148=9,C135,L60))</f>
        <v>50.809802140936775</v>
      </c>
      <c r="E57" s="7">
        <f>IF($B$148&lt;7,X60,IF($B$148=8,W5,IF($B$148=9,K60,IF($B$148=10,C135,IF($B$148=7,V5,0)))))</f>
        <v>50.80951002625973</v>
      </c>
      <c r="F57" s="7"/>
      <c r="K57" s="17">
        <f>K45*SIN(K56)</f>
        <v>-4.4069547176171488E-2</v>
      </c>
      <c r="L57" s="17">
        <f>L45*SIN(L56)</f>
        <v>-4.4066806108758745E-2</v>
      </c>
      <c r="M57" s="17" t="s">
        <v>37</v>
      </c>
      <c r="N57" s="17" t="s">
        <v>37</v>
      </c>
      <c r="O57" s="11"/>
      <c r="P57" s="11"/>
      <c r="Q57" s="11"/>
      <c r="R57" s="11"/>
      <c r="S57" s="11"/>
      <c r="T57" s="11"/>
      <c r="U57" s="10"/>
      <c r="V57" s="10"/>
      <c r="W57" s="10"/>
      <c r="X57" s="15">
        <f>X45*SIN(X56)</f>
        <v>-9.640489553640893E-7</v>
      </c>
      <c r="Y57" s="15">
        <f>Y45*SIN(Y56)</f>
        <v>6.3409636405006853E-2</v>
      </c>
      <c r="Z57" s="15" t="s">
        <v>37</v>
      </c>
      <c r="AA57" s="15" t="s">
        <v>37</v>
      </c>
    </row>
    <row r="58" spans="1:27" ht="15.75" thickBot="1" x14ac:dyDescent="0.3">
      <c r="B58" s="70" t="s">
        <v>33</v>
      </c>
      <c r="C58" s="7">
        <f>IF($B$148=1,P6,IF($B$148=2,Q6,IF($B$148=3,R6,IF($B$148=4,S6,IF($B$148=6,U6,IF($B$148=7,Y61,IF($B$148=8,Y61,IF($B$148=5,T6,0))))))))</f>
        <v>20.432049908642909</v>
      </c>
      <c r="D58" s="7">
        <f>IF($B$148&lt;9,C58,IF($B$148=9,C136,L61))</f>
        <v>20.432049908642909</v>
      </c>
      <c r="E58" s="7">
        <f>IF($B$148&lt;7,X61,IF($B$148=8,W6,IF($B$148=9,K61,IF($B$148=10,C136,IF($B$148=7,V6,0)))))</f>
        <v>20.430290004750535</v>
      </c>
      <c r="F58" s="7"/>
      <c r="K58" s="17">
        <f>K42*K45*K57/POWER(1-K57*K57,1/2)</f>
        <v>-23020.23485038487</v>
      </c>
      <c r="L58" s="17">
        <f>L42*L45*L57/POWER(1-L57*L57,1/2)</f>
        <v>-23017.542181645993</v>
      </c>
      <c r="M58" s="17" t="s">
        <v>36</v>
      </c>
      <c r="N58" s="17" t="s">
        <v>36</v>
      </c>
      <c r="O58" s="11"/>
      <c r="P58" s="11"/>
      <c r="Q58" s="11"/>
      <c r="R58" s="11"/>
      <c r="S58" s="11"/>
      <c r="T58" s="11"/>
      <c r="U58" s="10"/>
      <c r="V58" s="10"/>
      <c r="W58" s="10"/>
      <c r="X58" s="15">
        <f>X42*X45*X57/POWER(1-X57*X57,1/2)</f>
        <v>-0.50309281290422603</v>
      </c>
      <c r="Y58" s="15">
        <f>Y42*Y45*Y57/POWER(1-Y57*Y57,1/2)</f>
        <v>33155.487130264795</v>
      </c>
      <c r="Z58" s="15" t="s">
        <v>36</v>
      </c>
      <c r="AA58" s="15" t="s">
        <v>36</v>
      </c>
    </row>
    <row r="59" spans="1:27" x14ac:dyDescent="0.2">
      <c r="K59" s="17">
        <f>ATAN((K40+K58)/K49)</f>
        <v>-0.56879980248745365</v>
      </c>
      <c r="L59" s="17">
        <f>ATAN((L40+L58)/L49)</f>
        <v>-0.56880580336540931</v>
      </c>
      <c r="M59" s="17" t="s">
        <v>35</v>
      </c>
      <c r="N59" s="17" t="s">
        <v>35</v>
      </c>
      <c r="O59" s="11"/>
      <c r="P59" s="11"/>
      <c r="Q59" s="11"/>
      <c r="R59" s="11"/>
      <c r="S59" s="11"/>
      <c r="T59" s="11"/>
      <c r="U59" s="10"/>
      <c r="V59" s="10"/>
      <c r="W59" s="10"/>
      <c r="X59" s="15">
        <f>ATAN((X40+X58)/X49)</f>
        <v>-1.1782678737583171E-5</v>
      </c>
      <c r="Y59" s="15">
        <f>ATAN((Y40+Y58)/Y49)</f>
        <v>0.88679833964621058</v>
      </c>
      <c r="Z59" s="15" t="s">
        <v>35</v>
      </c>
      <c r="AA59" s="15" t="s">
        <v>35</v>
      </c>
    </row>
    <row r="60" spans="1:27" x14ac:dyDescent="0.2">
      <c r="K60" s="17">
        <f>DEGREES(K59)</f>
        <v>-32.589828070405922</v>
      </c>
      <c r="L60" s="17">
        <f>DEGREES(L59)</f>
        <v>-32.590171895386149</v>
      </c>
      <c r="M60" s="17" t="s">
        <v>34</v>
      </c>
      <c r="N60" s="17" t="s">
        <v>34</v>
      </c>
      <c r="O60" s="11"/>
      <c r="P60" s="11"/>
      <c r="Q60" s="11"/>
      <c r="R60" s="11"/>
      <c r="S60" s="11"/>
      <c r="T60" s="11"/>
      <c r="U60" s="10"/>
      <c r="V60" s="10"/>
      <c r="W60" s="10"/>
      <c r="X60" s="15">
        <f>DEGREES(X59)</f>
        <v>-6.7509776302204858E-4</v>
      </c>
      <c r="Y60" s="15">
        <f>DEGREES(Y59)</f>
        <v>50.809802140936775</v>
      </c>
      <c r="Z60" s="15" t="s">
        <v>34</v>
      </c>
      <c r="AA60" s="15" t="s">
        <v>34</v>
      </c>
    </row>
    <row r="61" spans="1:27" x14ac:dyDescent="0.2">
      <c r="K61" s="17">
        <f>DEGREES((ACOS(K38/K49)))</f>
        <v>99.069148809629567</v>
      </c>
      <c r="L61" s="17">
        <f>DEGREES((ACOS(L38/L49)))</f>
        <v>99.070851232824495</v>
      </c>
      <c r="M61" s="17" t="s">
        <v>33</v>
      </c>
      <c r="N61" s="17" t="s">
        <v>33</v>
      </c>
      <c r="O61" s="11"/>
      <c r="P61" s="11"/>
      <c r="Q61" s="11"/>
      <c r="R61" s="11"/>
      <c r="S61" s="11"/>
      <c r="T61" s="11"/>
      <c r="U61" s="10"/>
      <c r="V61" s="10"/>
      <c r="W61" s="10"/>
      <c r="X61" s="15">
        <f>DEGREES((ACOS(X38/X49)))</f>
        <v>1.0823156207189371E-3</v>
      </c>
      <c r="Y61" s="15">
        <f>DEGREES((ACOS(Y38/Y49)))</f>
        <v>20.432049908642909</v>
      </c>
      <c r="Z61" s="15" t="s">
        <v>33</v>
      </c>
      <c r="AA61" s="15" t="s">
        <v>33</v>
      </c>
    </row>
    <row r="62" spans="1:27" x14ac:dyDescent="0.2">
      <c r="O62" s="11"/>
      <c r="P62" s="11"/>
      <c r="Q62" s="11"/>
      <c r="R62" s="11"/>
      <c r="S62" s="11"/>
      <c r="T62" s="11"/>
      <c r="U62" s="10"/>
      <c r="V62" s="10"/>
      <c r="W62" s="10"/>
    </row>
    <row r="63" spans="1:27" x14ac:dyDescent="0.2">
      <c r="O63" s="11"/>
      <c r="P63" s="11"/>
      <c r="Q63" s="11"/>
      <c r="R63" s="11"/>
      <c r="S63" s="11"/>
      <c r="T63" s="11"/>
      <c r="U63" s="10"/>
      <c r="V63" s="10"/>
      <c r="W63" s="10"/>
    </row>
    <row r="64" spans="1:27" x14ac:dyDescent="0.2">
      <c r="O64" s="11"/>
      <c r="P64" s="11"/>
      <c r="Q64" s="11"/>
      <c r="R64" s="11"/>
      <c r="S64" s="11"/>
      <c r="T64" s="11"/>
      <c r="U64" s="10"/>
      <c r="V64" s="10"/>
      <c r="W64" s="10"/>
    </row>
    <row r="65" spans="1:27" x14ac:dyDescent="0.2">
      <c r="O65" s="11"/>
      <c r="P65" s="11"/>
      <c r="Q65" s="11"/>
      <c r="R65" s="11"/>
      <c r="S65" s="11"/>
      <c r="T65" s="11"/>
      <c r="U65" s="10"/>
      <c r="V65" s="10"/>
      <c r="W65" s="10"/>
    </row>
    <row r="66" spans="1:27" x14ac:dyDescent="0.2">
      <c r="O66" s="11"/>
      <c r="P66" s="11"/>
      <c r="Q66" s="11"/>
      <c r="R66" s="11"/>
      <c r="S66" s="11"/>
      <c r="T66" s="11"/>
      <c r="U66" s="10"/>
      <c r="V66" s="10"/>
      <c r="W66" s="10"/>
    </row>
    <row r="67" spans="1:27" x14ac:dyDescent="0.2">
      <c r="O67" s="11"/>
      <c r="P67" s="11"/>
      <c r="Q67" s="11"/>
      <c r="R67" s="11"/>
      <c r="S67" s="11"/>
      <c r="T67" s="11"/>
      <c r="U67" s="10"/>
      <c r="V67" s="10"/>
      <c r="W67" s="10"/>
    </row>
    <row r="70" spans="1:27" x14ac:dyDescent="0.2">
      <c r="A70" s="68"/>
      <c r="B70" s="68"/>
      <c r="C70" s="68">
        <v>1</v>
      </c>
      <c r="D70" s="68">
        <v>2</v>
      </c>
      <c r="E70" s="68">
        <v>3</v>
      </c>
      <c r="F70" s="68">
        <v>4</v>
      </c>
      <c r="G70" s="68">
        <v>5</v>
      </c>
      <c r="H70" s="68">
        <v>6</v>
      </c>
      <c r="I70" s="68">
        <v>7</v>
      </c>
      <c r="J70" s="69">
        <v>8</v>
      </c>
      <c r="K70" s="68">
        <v>9</v>
      </c>
      <c r="L70" s="68">
        <v>10</v>
      </c>
      <c r="M70" s="68"/>
      <c r="N70" s="68"/>
      <c r="O70" s="67"/>
      <c r="P70" s="66">
        <v>1</v>
      </c>
      <c r="Q70" s="66">
        <v>2</v>
      </c>
      <c r="R70" s="66">
        <v>3</v>
      </c>
      <c r="S70" s="66">
        <v>4</v>
      </c>
      <c r="T70" s="66">
        <v>5</v>
      </c>
      <c r="U70" s="66">
        <v>6</v>
      </c>
      <c r="V70" s="66">
        <v>7</v>
      </c>
      <c r="W70" s="66">
        <v>8</v>
      </c>
      <c r="X70" s="66">
        <v>9</v>
      </c>
      <c r="Y70" s="66">
        <v>10</v>
      </c>
      <c r="Z70" s="66"/>
      <c r="AA70" s="66">
        <v>10</v>
      </c>
    </row>
    <row r="71" spans="1:27" x14ac:dyDescent="0.2">
      <c r="A71" s="64"/>
      <c r="B71" s="63" t="s">
        <v>142</v>
      </c>
      <c r="C71" s="64">
        <v>1</v>
      </c>
      <c r="D71" s="64">
        <v>2</v>
      </c>
      <c r="E71" s="64">
        <v>3</v>
      </c>
      <c r="F71" s="64">
        <v>4</v>
      </c>
      <c r="G71" s="64">
        <v>5</v>
      </c>
      <c r="H71" s="64">
        <v>1942</v>
      </c>
      <c r="I71" s="64">
        <v>2000</v>
      </c>
      <c r="J71" s="65">
        <v>1992</v>
      </c>
      <c r="K71" s="59" t="s">
        <v>141</v>
      </c>
      <c r="L71" s="59" t="s">
        <v>140</v>
      </c>
      <c r="M71" s="59" t="s">
        <v>139</v>
      </c>
      <c r="N71" s="59" t="s">
        <v>138</v>
      </c>
      <c r="O71" s="58"/>
      <c r="P71" s="57">
        <v>1</v>
      </c>
      <c r="Q71" s="57">
        <v>2</v>
      </c>
      <c r="R71" s="57">
        <v>3</v>
      </c>
      <c r="S71" s="57">
        <v>4</v>
      </c>
      <c r="T71" s="57">
        <v>5</v>
      </c>
      <c r="U71" s="57">
        <v>1942</v>
      </c>
      <c r="V71" s="57">
        <v>2000</v>
      </c>
      <c r="W71" s="57">
        <v>1992</v>
      </c>
      <c r="X71" s="57" t="s">
        <v>141</v>
      </c>
      <c r="Y71" s="57" t="s">
        <v>140</v>
      </c>
      <c r="Z71" s="55" t="s">
        <v>139</v>
      </c>
      <c r="AA71" s="55" t="s">
        <v>138</v>
      </c>
    </row>
    <row r="72" spans="1:27" ht="15" thickBot="1" x14ac:dyDescent="0.25">
      <c r="A72" s="64"/>
      <c r="B72" s="63"/>
      <c r="C72" s="62"/>
      <c r="D72" s="62"/>
      <c r="E72" s="62"/>
      <c r="F72" s="62"/>
      <c r="G72" s="62"/>
      <c r="H72" s="62"/>
      <c r="I72" s="62"/>
      <c r="J72" s="61"/>
      <c r="K72" s="60"/>
      <c r="L72" s="60"/>
      <c r="M72" s="59" t="s">
        <v>137</v>
      </c>
      <c r="N72" s="59" t="s">
        <v>136</v>
      </c>
      <c r="O72" s="58"/>
      <c r="P72" s="57"/>
      <c r="Q72" s="57"/>
      <c r="R72" s="57"/>
      <c r="S72" s="57"/>
      <c r="T72" s="57"/>
      <c r="U72" s="57"/>
      <c r="V72" s="57"/>
      <c r="W72" s="57"/>
      <c r="X72" s="56"/>
      <c r="Y72" s="56"/>
      <c r="Z72" s="55" t="s">
        <v>137</v>
      </c>
      <c r="AA72" s="55" t="s">
        <v>136</v>
      </c>
    </row>
    <row r="73" spans="1:27" ht="15.75" thickTop="1" thickBot="1" x14ac:dyDescent="0.25">
      <c r="A73" s="43"/>
      <c r="B73" s="42" t="s">
        <v>34</v>
      </c>
      <c r="C73" s="51">
        <f>D57</f>
        <v>50.809802140936775</v>
      </c>
      <c r="D73" s="51">
        <f>D57</f>
        <v>50.809802140936775</v>
      </c>
      <c r="E73" s="51">
        <f>D57</f>
        <v>50.809802140936775</v>
      </c>
      <c r="F73" s="51">
        <f>D57</f>
        <v>50.809802140936775</v>
      </c>
      <c r="G73" s="51">
        <f>D57</f>
        <v>50.809802140936775</v>
      </c>
      <c r="H73" s="51">
        <f>D57</f>
        <v>50.809802140936775</v>
      </c>
      <c r="I73" s="51">
        <f>E57</f>
        <v>50.80951002625973</v>
      </c>
      <c r="J73" s="50">
        <f>E57</f>
        <v>50.80951002625973</v>
      </c>
      <c r="K73" s="49"/>
      <c r="L73" s="49"/>
      <c r="M73" s="48" t="s">
        <v>34</v>
      </c>
      <c r="N73" s="16" t="s">
        <v>34</v>
      </c>
      <c r="O73" s="54"/>
      <c r="P73" s="53">
        <f t="shared" ref="P73:W73" si="29">DEGREES(P82)</f>
        <v>-1.8171354380622389</v>
      </c>
      <c r="Q73" s="53">
        <f t="shared" si="29"/>
        <v>-2.1484264732747893</v>
      </c>
      <c r="R73" s="53">
        <f t="shared" si="29"/>
        <v>-0.57168254221392423</v>
      </c>
      <c r="S73" s="53">
        <f t="shared" si="29"/>
        <v>-8.3225138085713787E-2</v>
      </c>
      <c r="T73" s="53">
        <f t="shared" si="29"/>
        <v>42.399217208300108</v>
      </c>
      <c r="U73" s="53">
        <f t="shared" si="29"/>
        <v>4.5836623610465861E-8</v>
      </c>
      <c r="V73" s="28">
        <f t="shared" si="29"/>
        <v>4.5836623610465861E-8</v>
      </c>
      <c r="W73" s="52">
        <f t="shared" si="29"/>
        <v>47.673746857560268</v>
      </c>
      <c r="X73" s="45"/>
      <c r="Y73" s="45"/>
      <c r="Z73" s="44" t="s">
        <v>34</v>
      </c>
      <c r="AA73" s="14" t="s">
        <v>34</v>
      </c>
    </row>
    <row r="74" spans="1:27" ht="15.75" thickTop="1" thickBot="1" x14ac:dyDescent="0.25">
      <c r="A74" s="25"/>
      <c r="B74" s="30" t="s">
        <v>33</v>
      </c>
      <c r="C74" s="51">
        <f>D58</f>
        <v>20.432049908642909</v>
      </c>
      <c r="D74" s="51">
        <f>D58</f>
        <v>20.432049908642909</v>
      </c>
      <c r="E74" s="51">
        <f>D58</f>
        <v>20.432049908642909</v>
      </c>
      <c r="F74" s="51">
        <f>D58</f>
        <v>20.432049908642909</v>
      </c>
      <c r="G74" s="51">
        <f>D58</f>
        <v>20.432049908642909</v>
      </c>
      <c r="H74" s="51">
        <f>D58</f>
        <v>20.432049908642909</v>
      </c>
      <c r="I74" s="51">
        <f>E58</f>
        <v>20.430290004750535</v>
      </c>
      <c r="J74" s="50">
        <f>E58</f>
        <v>20.430290004750535</v>
      </c>
      <c r="K74" s="49"/>
      <c r="L74" s="49"/>
      <c r="M74" s="48" t="s">
        <v>33</v>
      </c>
      <c r="N74" s="16" t="s">
        <v>33</v>
      </c>
      <c r="O74" s="29"/>
      <c r="P74" s="47">
        <f t="shared" ref="P74:W74" si="30">C76+DEGREES(P94)</f>
        <v>-13.704856967208844</v>
      </c>
      <c r="Q74" s="47">
        <f t="shared" si="30"/>
        <v>-12.465388774438711</v>
      </c>
      <c r="R74" s="47">
        <f t="shared" si="30"/>
        <v>-8.6161654106289021</v>
      </c>
      <c r="S74" s="47">
        <f t="shared" si="30"/>
        <v>-10.976567137594756</v>
      </c>
      <c r="T74" s="47">
        <f t="shared" si="30"/>
        <v>16.079816703560169</v>
      </c>
      <c r="U74" s="47">
        <f t="shared" si="30"/>
        <v>-5.9621333832732688</v>
      </c>
      <c r="V74" s="28">
        <f t="shared" si="30"/>
        <v>-36.342937698085215</v>
      </c>
      <c r="W74" s="46">
        <f t="shared" si="30"/>
        <v>12.335659663811906</v>
      </c>
      <c r="X74" s="45"/>
      <c r="Y74" s="45"/>
      <c r="Z74" s="44" t="s">
        <v>33</v>
      </c>
      <c r="AA74" s="14" t="s">
        <v>33</v>
      </c>
    </row>
    <row r="75" spans="1:27" ht="15" thickTop="1" x14ac:dyDescent="0.2">
      <c r="A75" s="25"/>
      <c r="B75" s="25" t="s">
        <v>60</v>
      </c>
      <c r="C75" s="43">
        <v>50.625</v>
      </c>
      <c r="D75" s="43">
        <v>53.001944444444447</v>
      </c>
      <c r="E75" s="43">
        <v>53.5833333333333</v>
      </c>
      <c r="F75" s="43">
        <v>51.670833333333334</v>
      </c>
      <c r="G75" s="43"/>
      <c r="H75" s="43"/>
      <c r="I75" s="24"/>
      <c r="J75" s="42"/>
      <c r="K75" s="41">
        <v>200</v>
      </c>
      <c r="L75" s="41">
        <v>200</v>
      </c>
      <c r="M75" s="16" t="s">
        <v>135</v>
      </c>
      <c r="N75" s="16" t="s">
        <v>135</v>
      </c>
      <c r="O75" s="29"/>
      <c r="P75" s="28"/>
      <c r="Q75" s="28"/>
      <c r="R75" s="28"/>
      <c r="S75" s="28"/>
      <c r="T75" s="28"/>
      <c r="U75" s="28"/>
      <c r="V75" s="28"/>
      <c r="W75" s="28"/>
      <c r="X75" s="40">
        <v>200</v>
      </c>
      <c r="Y75" s="40">
        <v>200</v>
      </c>
      <c r="Z75" s="14" t="s">
        <v>135</v>
      </c>
      <c r="AA75" s="14" t="s">
        <v>135</v>
      </c>
    </row>
    <row r="76" spans="1:27" ht="18.75" x14ac:dyDescent="0.35">
      <c r="A76" s="25"/>
      <c r="B76" s="25" t="s">
        <v>134</v>
      </c>
      <c r="C76" s="39">
        <v>21.083333333333332</v>
      </c>
      <c r="D76" s="39">
        <v>21.502777777777776</v>
      </c>
      <c r="E76" s="39">
        <v>17.008333333333333</v>
      </c>
      <c r="F76" s="39">
        <v>16.672222222222221</v>
      </c>
      <c r="G76" s="39">
        <v>18.958333333333332</v>
      </c>
      <c r="H76" s="25">
        <f>IF($B$152=1,15,IF($B$152=2,21,24))</f>
        <v>24</v>
      </c>
      <c r="I76" s="24">
        <f>IF($B$153=1,15,IF($B$153=2,18,IF($B$153=3,21,24)))</f>
        <v>24</v>
      </c>
      <c r="J76" s="24">
        <v>19</v>
      </c>
      <c r="K76" s="16">
        <f>RADIANS(K73)</f>
        <v>0</v>
      </c>
      <c r="L76" s="16">
        <f>RADIANS(L73)</f>
        <v>0</v>
      </c>
      <c r="M76" s="16" t="s">
        <v>128</v>
      </c>
      <c r="N76" s="16" t="s">
        <v>128</v>
      </c>
      <c r="O76" s="29"/>
      <c r="P76" s="28"/>
      <c r="Q76" s="28"/>
      <c r="R76" s="28"/>
      <c r="S76" s="28"/>
      <c r="T76" s="28"/>
      <c r="U76" s="28"/>
      <c r="V76" s="28"/>
      <c r="W76" s="28"/>
      <c r="X76" s="14">
        <f>RADIANS(X73)</f>
        <v>0</v>
      </c>
      <c r="Y76" s="14">
        <f>RADIANS(Y73)</f>
        <v>0</v>
      </c>
      <c r="Z76" s="14" t="s">
        <v>128</v>
      </c>
      <c r="AA76" s="14" t="s">
        <v>128</v>
      </c>
    </row>
    <row r="77" spans="1:27" x14ac:dyDescent="0.2">
      <c r="A77" s="25"/>
      <c r="B77" s="25" t="s">
        <v>133</v>
      </c>
      <c r="C77" s="25">
        <v>0.99980000000000002</v>
      </c>
      <c r="D77" s="25">
        <v>0.99980000000000002</v>
      </c>
      <c r="E77" s="25">
        <v>0.99980000000000002</v>
      </c>
      <c r="F77" s="25">
        <v>0.99980000000000002</v>
      </c>
      <c r="G77" s="25">
        <v>0.99998299999999996</v>
      </c>
      <c r="H77" s="25">
        <v>1</v>
      </c>
      <c r="I77" s="24">
        <v>0.99992300000000001</v>
      </c>
      <c r="J77" s="30">
        <v>0.99929999999999997</v>
      </c>
      <c r="K77" s="16">
        <f>RADIANS(K74)</f>
        <v>0</v>
      </c>
      <c r="L77" s="16">
        <f>RADIANS(L74)</f>
        <v>0</v>
      </c>
      <c r="M77" s="16" t="s">
        <v>126</v>
      </c>
      <c r="N77" s="16" t="s">
        <v>126</v>
      </c>
      <c r="O77" s="29"/>
      <c r="P77" s="28"/>
      <c r="Q77" s="28"/>
      <c r="R77" s="28"/>
      <c r="S77" s="28"/>
      <c r="T77" s="28"/>
      <c r="U77" s="28"/>
      <c r="V77" s="28"/>
      <c r="W77" s="28"/>
      <c r="X77" s="14">
        <f>RADIANS(X74)</f>
        <v>0</v>
      </c>
      <c r="Y77" s="14">
        <f>RADIANS(Y74)</f>
        <v>0</v>
      </c>
      <c r="Z77" s="14" t="s">
        <v>126</v>
      </c>
      <c r="AA77" s="14" t="s">
        <v>126</v>
      </c>
    </row>
    <row r="78" spans="1:27" x14ac:dyDescent="0.2">
      <c r="A78" s="25"/>
      <c r="B78" s="25" t="s">
        <v>108</v>
      </c>
      <c r="C78" s="39">
        <f t="shared" ref="C78:J78" si="31">DEGREES(C80)</f>
        <v>50.621348312888713</v>
      </c>
      <c r="D78" s="39">
        <f t="shared" si="31"/>
        <v>50.621348312888713</v>
      </c>
      <c r="E78" s="39">
        <f t="shared" si="31"/>
        <v>50.621348312888713</v>
      </c>
      <c r="F78" s="39">
        <f t="shared" si="31"/>
        <v>50.621348312888713</v>
      </c>
      <c r="G78" s="39">
        <f t="shared" si="31"/>
        <v>50.621348312888713</v>
      </c>
      <c r="H78" s="39">
        <f t="shared" si="31"/>
        <v>50.621348312888713</v>
      </c>
      <c r="I78" s="24">
        <f t="shared" si="31"/>
        <v>50.621028733833683</v>
      </c>
      <c r="J78" s="24">
        <f t="shared" si="31"/>
        <v>50.621028733833683</v>
      </c>
      <c r="K78" s="16">
        <f>K79/POWER(1-K82*SIN(K76)*SIN(K76),1/2)</f>
        <v>6378245</v>
      </c>
      <c r="L78" s="16">
        <f>L79/POWER(1-L82*SIN(L76)*SIN(L76),1/2)</f>
        <v>6378137</v>
      </c>
      <c r="M78" s="16" t="s">
        <v>132</v>
      </c>
      <c r="N78" s="16" t="s">
        <v>132</v>
      </c>
      <c r="O78" s="38"/>
      <c r="P78" s="28"/>
      <c r="Q78" s="28"/>
      <c r="R78" s="28"/>
      <c r="S78" s="28"/>
      <c r="T78" s="28"/>
      <c r="U78" s="28"/>
      <c r="V78" s="28"/>
      <c r="W78" s="28"/>
      <c r="X78" s="14">
        <f>X79/POWER(1-X82*SIN(X76)*SIN(X76),1/2)</f>
        <v>6378245</v>
      </c>
      <c r="Y78" s="14">
        <f>Y79/POWER(1-Y82*SIN(Y76)*SIN(Y76),1/2)</f>
        <v>6378137</v>
      </c>
      <c r="Z78" s="14" t="s">
        <v>132</v>
      </c>
      <c r="AA78" s="14" t="s">
        <v>132</v>
      </c>
    </row>
    <row r="79" spans="1:27" x14ac:dyDescent="0.2">
      <c r="A79" s="25"/>
      <c r="B79" s="25" t="s">
        <v>131</v>
      </c>
      <c r="C79" s="39">
        <f t="shared" ref="C79:J79" si="32">C74</f>
        <v>20.432049908642909</v>
      </c>
      <c r="D79" s="39">
        <f t="shared" si="32"/>
        <v>20.432049908642909</v>
      </c>
      <c r="E79" s="39">
        <f t="shared" si="32"/>
        <v>20.432049908642909</v>
      </c>
      <c r="F79" s="39">
        <f t="shared" si="32"/>
        <v>20.432049908642909</v>
      </c>
      <c r="G79" s="39">
        <f t="shared" si="32"/>
        <v>20.432049908642909</v>
      </c>
      <c r="H79" s="39">
        <f t="shared" si="32"/>
        <v>20.432049908642909</v>
      </c>
      <c r="I79" s="24">
        <f t="shared" si="32"/>
        <v>20.430290004750535</v>
      </c>
      <c r="J79" s="24">
        <f t="shared" si="32"/>
        <v>20.430290004750535</v>
      </c>
      <c r="K79" s="16">
        <v>6378245</v>
      </c>
      <c r="L79" s="16">
        <v>6378137</v>
      </c>
      <c r="M79" s="16" t="s">
        <v>61</v>
      </c>
      <c r="N79" s="16" t="s">
        <v>62</v>
      </c>
      <c r="O79" s="38"/>
      <c r="P79" s="28"/>
      <c r="Q79" s="28"/>
      <c r="R79" s="28"/>
      <c r="S79" s="28"/>
      <c r="T79" s="28"/>
      <c r="U79" s="28"/>
      <c r="V79" s="28"/>
      <c r="W79" s="28"/>
      <c r="X79" s="14">
        <v>6378245</v>
      </c>
      <c r="Y79" s="14">
        <v>6378137</v>
      </c>
      <c r="Z79" s="14" t="s">
        <v>61</v>
      </c>
      <c r="AA79" s="14" t="s">
        <v>62</v>
      </c>
    </row>
    <row r="80" spans="1:27" x14ac:dyDescent="0.2">
      <c r="A80" s="25"/>
      <c r="B80" s="25" t="s">
        <v>130</v>
      </c>
      <c r="C80" s="25">
        <f t="shared" ref="C80:J80" si="33">C93</f>
        <v>0.88350919985878473</v>
      </c>
      <c r="D80" s="25">
        <f t="shared" si="33"/>
        <v>0.88350919985878473</v>
      </c>
      <c r="E80" s="25">
        <f t="shared" si="33"/>
        <v>0.88350919985878473</v>
      </c>
      <c r="F80" s="25">
        <f t="shared" si="33"/>
        <v>0.88350919985878473</v>
      </c>
      <c r="G80" s="25">
        <f t="shared" si="33"/>
        <v>0.88350919985878473</v>
      </c>
      <c r="H80" s="25">
        <f t="shared" si="33"/>
        <v>0.88350919985878473</v>
      </c>
      <c r="I80" s="24">
        <f t="shared" si="33"/>
        <v>0.88350362215205402</v>
      </c>
      <c r="J80" s="30">
        <f t="shared" si="33"/>
        <v>0.88350362215205402</v>
      </c>
      <c r="K80" s="16">
        <v>6356863.01877</v>
      </c>
      <c r="L80" s="16">
        <v>6356752.3141400004</v>
      </c>
      <c r="M80" s="16" t="s">
        <v>58</v>
      </c>
      <c r="N80" s="16" t="s">
        <v>59</v>
      </c>
      <c r="O80" s="38"/>
      <c r="P80" s="28"/>
      <c r="Q80" s="28"/>
      <c r="R80" s="28"/>
      <c r="S80" s="28"/>
      <c r="T80" s="28"/>
      <c r="U80" s="28"/>
      <c r="V80" s="28"/>
      <c r="W80" s="28"/>
      <c r="X80" s="14">
        <v>6356863.01877</v>
      </c>
      <c r="Y80" s="14">
        <v>6356752.3141400004</v>
      </c>
      <c r="Z80" s="14" t="s">
        <v>58</v>
      </c>
      <c r="AA80" s="14" t="s">
        <v>59</v>
      </c>
    </row>
    <row r="81" spans="1:27" x14ac:dyDescent="0.2">
      <c r="A81" s="25"/>
      <c r="B81" s="25" t="s">
        <v>129</v>
      </c>
      <c r="C81" s="25">
        <f t="shared" ref="C81:J81" si="34">RADIANS(C79)</f>
        <v>0.35660654383762541</v>
      </c>
      <c r="D81" s="25">
        <f t="shared" si="34"/>
        <v>0.35660654383762541</v>
      </c>
      <c r="E81" s="25">
        <f t="shared" si="34"/>
        <v>0.35660654383762541</v>
      </c>
      <c r="F81" s="25">
        <f t="shared" si="34"/>
        <v>0.35660654383762541</v>
      </c>
      <c r="G81" s="25">
        <f t="shared" si="34"/>
        <v>0.35660654383762541</v>
      </c>
      <c r="H81" s="25">
        <f t="shared" si="34"/>
        <v>0.35660654383762541</v>
      </c>
      <c r="I81" s="24">
        <f t="shared" si="34"/>
        <v>0.35657582772018481</v>
      </c>
      <c r="J81" s="30">
        <f t="shared" si="34"/>
        <v>0.35657582772018481</v>
      </c>
      <c r="K81" s="16">
        <v>8.1813334000000001E-2</v>
      </c>
      <c r="L81" s="16">
        <v>8.1819191042799999E-2</v>
      </c>
      <c r="M81" s="16" t="s">
        <v>53</v>
      </c>
      <c r="N81" s="16" t="s">
        <v>54</v>
      </c>
      <c r="O81" s="38"/>
      <c r="P81" s="28"/>
      <c r="Q81" s="28"/>
      <c r="R81" s="28"/>
      <c r="S81" s="28"/>
      <c r="T81" s="28"/>
      <c r="U81" s="28"/>
      <c r="V81" s="28"/>
      <c r="W81" s="28"/>
      <c r="X81" s="14">
        <v>8.1813334000000001E-2</v>
      </c>
      <c r="Y81" s="14">
        <v>8.1819191042799999E-2</v>
      </c>
      <c r="Z81" s="14" t="s">
        <v>53</v>
      </c>
      <c r="AA81" s="14" t="s">
        <v>54</v>
      </c>
    </row>
    <row r="82" spans="1:27" x14ac:dyDescent="0.2">
      <c r="A82" s="25"/>
      <c r="B82" s="25"/>
      <c r="C82" s="25">
        <f t="shared" ref="C82:J83" si="35">RADIANS(C73)</f>
        <v>0.88679833964621069</v>
      </c>
      <c r="D82" s="25">
        <f t="shared" si="35"/>
        <v>0.88679833964621069</v>
      </c>
      <c r="E82" s="25">
        <f t="shared" si="35"/>
        <v>0.88679833964621069</v>
      </c>
      <c r="F82" s="25">
        <f t="shared" si="35"/>
        <v>0.88679833964621069</v>
      </c>
      <c r="G82" s="25">
        <f t="shared" si="35"/>
        <v>0.88679833964621069</v>
      </c>
      <c r="H82" s="25">
        <f t="shared" si="35"/>
        <v>0.88679833964621069</v>
      </c>
      <c r="I82" s="24">
        <f t="shared" si="35"/>
        <v>0.88679324128330284</v>
      </c>
      <c r="J82" s="30">
        <f t="shared" si="35"/>
        <v>0.88679324128330284</v>
      </c>
      <c r="K82" s="16">
        <f>K81*K81</f>
        <v>6.6934216201955561E-3</v>
      </c>
      <c r="L82" s="16">
        <f>L81*L81</f>
        <v>6.6943800228982039E-3</v>
      </c>
      <c r="M82" s="16" t="s">
        <v>127</v>
      </c>
      <c r="N82" s="16" t="s">
        <v>127</v>
      </c>
      <c r="O82" s="38" t="s">
        <v>128</v>
      </c>
      <c r="P82" s="33">
        <f t="shared" ref="P82:V82" si="36">P93+P89*SIN(2*P93)+P90*SIN(4*P93)+P91*SIN(6*P93)+P92*SIN(8*P93)+0.0000000008</f>
        <v>-3.1714996348855558E-2</v>
      </c>
      <c r="Q82" s="33">
        <f t="shared" si="36"/>
        <v>-3.7497115695655031E-2</v>
      </c>
      <c r="R82" s="33">
        <f t="shared" si="36"/>
        <v>-9.9777426378044511E-3</v>
      </c>
      <c r="S82" s="33">
        <f t="shared" si="36"/>
        <v>-1.4525526800226363E-3</v>
      </c>
      <c r="T82" s="33">
        <f t="shared" si="36"/>
        <v>0.74000594055307534</v>
      </c>
      <c r="U82" s="33">
        <f t="shared" si="36"/>
        <v>8.0000000000000003E-10</v>
      </c>
      <c r="V82" s="28">
        <f t="shared" si="36"/>
        <v>8.0000000000000003E-10</v>
      </c>
      <c r="W82" s="33">
        <f>W93+W89*SIN(2*W93)+W90*SIN(4*W93)+W91*SIN(6*W93)+W92*SIN(8*W93)</f>
        <v>0.83206384942672673</v>
      </c>
      <c r="X82" s="14">
        <f>X81*X81</f>
        <v>6.6934216201955561E-3</v>
      </c>
      <c r="Y82" s="14">
        <f>Y81*Y81</f>
        <v>6.6943800228982039E-3</v>
      </c>
      <c r="Z82" s="14" t="s">
        <v>127</v>
      </c>
      <c r="AA82" s="14" t="s">
        <v>127</v>
      </c>
    </row>
    <row r="83" spans="1:27" x14ac:dyDescent="0.2">
      <c r="A83" s="25"/>
      <c r="B83" s="25" t="s">
        <v>126</v>
      </c>
      <c r="C83" s="25">
        <f t="shared" si="35"/>
        <v>0.35660654383762541</v>
      </c>
      <c r="D83" s="25">
        <f t="shared" si="35"/>
        <v>0.35660654383762541</v>
      </c>
      <c r="E83" s="25">
        <f t="shared" si="35"/>
        <v>0.35660654383762541</v>
      </c>
      <c r="F83" s="25">
        <f t="shared" si="35"/>
        <v>0.35660654383762541</v>
      </c>
      <c r="G83" s="25">
        <f t="shared" si="35"/>
        <v>0.35660654383762541</v>
      </c>
      <c r="H83" s="25">
        <f t="shared" si="35"/>
        <v>0.35660654383762541</v>
      </c>
      <c r="I83" s="24">
        <f t="shared" si="35"/>
        <v>0.35657582772018481</v>
      </c>
      <c r="J83" s="30">
        <f t="shared" si="35"/>
        <v>0.35657582772018481</v>
      </c>
      <c r="K83" s="16">
        <f>(K78+K75)*COS(K76)*COS(K77)</f>
        <v>6378445</v>
      </c>
      <c r="L83" s="16">
        <f>(L78+L75)*COS(L76)*COS(L77)</f>
        <v>6378337</v>
      </c>
      <c r="M83" s="16" t="s">
        <v>71</v>
      </c>
      <c r="N83" s="16" t="s">
        <v>72</v>
      </c>
      <c r="O83" s="29"/>
      <c r="P83" s="28"/>
      <c r="Q83" s="28"/>
      <c r="R83" s="28"/>
      <c r="S83" s="28"/>
      <c r="T83" s="28"/>
      <c r="U83" s="28"/>
      <c r="V83" s="28"/>
      <c r="W83" s="28"/>
      <c r="X83" s="14">
        <f>(X78+X75)*COS(X76)*COS(X77)</f>
        <v>6378445</v>
      </c>
      <c r="Y83" s="14">
        <f>(Y78+Y75)*COS(Y76)*COS(Y77)</f>
        <v>6378337</v>
      </c>
      <c r="Z83" s="14" t="s">
        <v>71</v>
      </c>
      <c r="AA83" s="14" t="s">
        <v>72</v>
      </c>
    </row>
    <row r="84" spans="1:27" x14ac:dyDescent="0.2">
      <c r="A84" s="25"/>
      <c r="B84" s="25" t="s">
        <v>125</v>
      </c>
      <c r="C84" s="25">
        <f t="shared" ref="C84:J84" si="37">RADIANS(C76)</f>
        <v>0.36797358396213781</v>
      </c>
      <c r="D84" s="25">
        <f t="shared" si="37"/>
        <v>0.37529427054689179</v>
      </c>
      <c r="E84" s="25">
        <f t="shared" si="37"/>
        <v>0.29685141694336886</v>
      </c>
      <c r="F84" s="25">
        <f t="shared" si="37"/>
        <v>0.29098517140194347</v>
      </c>
      <c r="G84" s="25">
        <f t="shared" si="37"/>
        <v>0.33088533735725828</v>
      </c>
      <c r="H84" s="25">
        <f t="shared" si="37"/>
        <v>0.41887902047863912</v>
      </c>
      <c r="I84" s="24">
        <f t="shared" si="37"/>
        <v>0.41887902047863912</v>
      </c>
      <c r="J84" s="30">
        <f t="shared" si="37"/>
        <v>0.33161255787892263</v>
      </c>
      <c r="K84" s="16">
        <f>(K78+K75)*COS(K76)*SIN(K77)</f>
        <v>0</v>
      </c>
      <c r="L84" s="16">
        <f>(L78+L75)*COS(L76)*SIN(L77)</f>
        <v>0</v>
      </c>
      <c r="M84" s="16" t="s">
        <v>68</v>
      </c>
      <c r="N84" s="16" t="s">
        <v>69</v>
      </c>
      <c r="O84" s="29"/>
      <c r="P84" s="28"/>
      <c r="Q84" s="28"/>
      <c r="R84" s="28"/>
      <c r="S84" s="28"/>
      <c r="T84" s="28"/>
      <c r="U84" s="28"/>
      <c r="V84" s="28"/>
      <c r="W84" s="28"/>
      <c r="X84" s="14">
        <f>(X78+X75)*COS(X76)*SIN(X77)</f>
        <v>0</v>
      </c>
      <c r="Y84" s="14">
        <f>(Y78+Y75)*COS(Y76)*SIN(Y77)</f>
        <v>0</v>
      </c>
      <c r="Z84" s="14" t="s">
        <v>68</v>
      </c>
      <c r="AA84" s="14" t="s">
        <v>69</v>
      </c>
    </row>
    <row r="85" spans="1:27" x14ac:dyDescent="0.2">
      <c r="A85" s="25"/>
      <c r="B85" s="25" t="s">
        <v>124</v>
      </c>
      <c r="C85" s="25">
        <f>PI()</f>
        <v>3.1415926535897931</v>
      </c>
      <c r="D85" s="25">
        <f>PI()</f>
        <v>3.1415926535897931</v>
      </c>
      <c r="E85" s="25">
        <f>PI()</f>
        <v>3.1415926535897931</v>
      </c>
      <c r="F85" s="25">
        <f>PI()</f>
        <v>3.1415926535897931</v>
      </c>
      <c r="G85" s="25">
        <f>PI()</f>
        <v>3.1415926535897931</v>
      </c>
      <c r="H85" s="25">
        <f>PI()</f>
        <v>3.1415926535897931</v>
      </c>
      <c r="I85" s="24">
        <f>PI()</f>
        <v>3.1415926535897931</v>
      </c>
      <c r="J85" s="30">
        <f>PI()</f>
        <v>3.1415926535897931</v>
      </c>
      <c r="K85" s="16">
        <f>(K78*(1-K82)+K75)*SIN(K76)</f>
        <v>0</v>
      </c>
      <c r="L85" s="16">
        <f>(L78*(1-L82)+L75)*SIN(L76)</f>
        <v>0</v>
      </c>
      <c r="M85" s="16" t="s">
        <v>65</v>
      </c>
      <c r="N85" s="16" t="s">
        <v>66</v>
      </c>
      <c r="O85" s="29"/>
      <c r="P85" s="28"/>
      <c r="Q85" s="28"/>
      <c r="R85" s="28"/>
      <c r="S85" s="28"/>
      <c r="T85" s="28"/>
      <c r="U85" s="28"/>
      <c r="V85" s="28"/>
      <c r="W85" s="28"/>
      <c r="X85" s="14">
        <f>(X78*(1-X82)+X75)*SIN(X76)</f>
        <v>0</v>
      </c>
      <c r="Y85" s="14">
        <f>(Y78*(1-Y82)+Y75)*SIN(Y76)</f>
        <v>0</v>
      </c>
      <c r="Z85" s="14" t="s">
        <v>65</v>
      </c>
      <c r="AA85" s="14" t="s">
        <v>66</v>
      </c>
    </row>
    <row r="86" spans="1:27" ht="28.5" x14ac:dyDescent="0.2">
      <c r="A86" s="25"/>
      <c r="B86" s="37" t="s">
        <v>123</v>
      </c>
      <c r="C86" s="36">
        <v>6367558.4968699999</v>
      </c>
      <c r="D86" s="36">
        <v>6367558.4968699999</v>
      </c>
      <c r="E86" s="36">
        <v>6367558.4968699999</v>
      </c>
      <c r="F86" s="36">
        <v>6367558.4968699999</v>
      </c>
      <c r="G86" s="36">
        <v>6367558.4968699999</v>
      </c>
      <c r="H86" s="36">
        <v>6367558.4968699999</v>
      </c>
      <c r="I86" s="24">
        <v>6367449.1457700003</v>
      </c>
      <c r="J86" s="35">
        <v>6367449.1457700003</v>
      </c>
      <c r="K86" s="16"/>
      <c r="L86" s="16"/>
      <c r="M86" s="16" t="s">
        <v>122</v>
      </c>
      <c r="N86" s="16" t="s">
        <v>121</v>
      </c>
      <c r="O86" s="29"/>
      <c r="P86" s="28"/>
      <c r="Q86" s="28"/>
      <c r="R86" s="28"/>
      <c r="S86" s="28"/>
      <c r="T86" s="28"/>
      <c r="U86" s="28"/>
      <c r="V86" s="28"/>
      <c r="W86" s="28"/>
      <c r="X86" s="14"/>
      <c r="Y86" s="14"/>
      <c r="Z86" s="14" t="s">
        <v>122</v>
      </c>
      <c r="AA86" s="14" t="s">
        <v>121</v>
      </c>
    </row>
    <row r="87" spans="1:27" x14ac:dyDescent="0.2">
      <c r="A87" s="25"/>
      <c r="B87" s="25" t="s">
        <v>120</v>
      </c>
      <c r="C87" s="25">
        <v>6378245</v>
      </c>
      <c r="D87" s="25">
        <v>6378245</v>
      </c>
      <c r="E87" s="25">
        <v>6378245</v>
      </c>
      <c r="F87" s="25">
        <v>6378245</v>
      </c>
      <c r="G87" s="25">
        <v>6378245</v>
      </c>
      <c r="H87" s="25">
        <v>6378245</v>
      </c>
      <c r="I87" s="24">
        <v>6378137</v>
      </c>
      <c r="J87" s="30">
        <v>6378137</v>
      </c>
      <c r="K87" s="16">
        <f t="shared" ref="K87:L89" si="38">K83</f>
        <v>6378445</v>
      </c>
      <c r="L87" s="16">
        <f t="shared" si="38"/>
        <v>6378337</v>
      </c>
      <c r="M87" s="16" t="s">
        <v>71</v>
      </c>
      <c r="N87" s="16" t="s">
        <v>72</v>
      </c>
      <c r="O87" s="29"/>
      <c r="P87" s="28"/>
      <c r="Q87" s="28"/>
      <c r="R87" s="28"/>
      <c r="S87" s="28"/>
      <c r="T87" s="28"/>
      <c r="U87" s="28"/>
      <c r="V87" s="28"/>
      <c r="W87" s="28"/>
      <c r="X87" s="14">
        <f t="shared" ref="X87:Y89" si="39">X83</f>
        <v>6378445</v>
      </c>
      <c r="Y87" s="14">
        <f t="shared" si="39"/>
        <v>6378337</v>
      </c>
      <c r="Z87" s="14" t="s">
        <v>71</v>
      </c>
      <c r="AA87" s="14" t="s">
        <v>72</v>
      </c>
    </row>
    <row r="88" spans="1:27" x14ac:dyDescent="0.2">
      <c r="A88" s="25"/>
      <c r="B88" s="25" t="s">
        <v>119</v>
      </c>
      <c r="C88" s="25">
        <v>8.1813334016899997E-2</v>
      </c>
      <c r="D88" s="25">
        <v>8.1813334016899997E-2</v>
      </c>
      <c r="E88" s="25">
        <v>8.1813334016899997E-2</v>
      </c>
      <c r="F88" s="25">
        <v>8.1813334016899997E-2</v>
      </c>
      <c r="G88" s="25">
        <v>8.1813334016899997E-2</v>
      </c>
      <c r="H88" s="25">
        <v>8.1813334016899997E-2</v>
      </c>
      <c r="I88" s="24">
        <v>8.1819191042799999E-2</v>
      </c>
      <c r="J88" s="30">
        <v>8.1819191042799999E-2</v>
      </c>
      <c r="K88" s="16">
        <f t="shared" si="38"/>
        <v>0</v>
      </c>
      <c r="L88" s="16">
        <f t="shared" si="38"/>
        <v>0</v>
      </c>
      <c r="M88" s="16" t="s">
        <v>68</v>
      </c>
      <c r="N88" s="16" t="s">
        <v>69</v>
      </c>
      <c r="O88" s="34"/>
      <c r="P88" s="28"/>
      <c r="Q88" s="28"/>
      <c r="R88" s="28"/>
      <c r="S88" s="28"/>
      <c r="T88" s="28"/>
      <c r="U88" s="28"/>
      <c r="V88" s="28"/>
      <c r="W88" s="28"/>
      <c r="X88" s="14">
        <f t="shared" si="39"/>
        <v>0</v>
      </c>
      <c r="Y88" s="14">
        <f t="shared" si="39"/>
        <v>0</v>
      </c>
      <c r="Z88" s="14" t="s">
        <v>68</v>
      </c>
      <c r="AA88" s="14" t="s">
        <v>69</v>
      </c>
    </row>
    <row r="89" spans="1:27" x14ac:dyDescent="0.2">
      <c r="A89" s="25"/>
      <c r="B89" s="25" t="s">
        <v>118</v>
      </c>
      <c r="C89" s="25">
        <v>2.7182818284590451</v>
      </c>
      <c r="D89" s="25">
        <v>2.7182818284590451</v>
      </c>
      <c r="E89" s="25">
        <v>2.7182818284590451</v>
      </c>
      <c r="F89" s="25">
        <v>2.7182818284590451</v>
      </c>
      <c r="G89" s="25">
        <v>2.7182818284590451</v>
      </c>
      <c r="H89" s="25">
        <v>2.7182818284590451</v>
      </c>
      <c r="I89" s="24">
        <v>2.7182818284590451</v>
      </c>
      <c r="J89" s="30">
        <v>2.7182818284590451</v>
      </c>
      <c r="K89" s="16">
        <f t="shared" si="38"/>
        <v>0</v>
      </c>
      <c r="L89" s="16">
        <f t="shared" si="38"/>
        <v>0</v>
      </c>
      <c r="M89" s="16" t="s">
        <v>65</v>
      </c>
      <c r="N89" s="16" t="s">
        <v>66</v>
      </c>
      <c r="O89" s="32" t="s">
        <v>40</v>
      </c>
      <c r="P89" s="28">
        <v>3.3560696017540001E-3</v>
      </c>
      <c r="Q89" s="28">
        <v>3.3560696017540001E-3</v>
      </c>
      <c r="R89" s="28">
        <v>3.3560696017540001E-3</v>
      </c>
      <c r="S89" s="28">
        <v>3.3560696017540001E-3</v>
      </c>
      <c r="T89" s="28">
        <v>3.3560696017540001E-3</v>
      </c>
      <c r="U89" s="28">
        <v>3.3560696017540001E-3</v>
      </c>
      <c r="V89" s="28">
        <v>3.3565514855969998E-3</v>
      </c>
      <c r="W89" s="28">
        <v>3.3565514855969998E-3</v>
      </c>
      <c r="X89" s="14">
        <f t="shared" si="39"/>
        <v>0</v>
      </c>
      <c r="Y89" s="14">
        <f t="shared" si="39"/>
        <v>0</v>
      </c>
      <c r="Z89" s="14" t="s">
        <v>65</v>
      </c>
      <c r="AA89" s="14" t="s">
        <v>66</v>
      </c>
    </row>
    <row r="90" spans="1:27" x14ac:dyDescent="0.2">
      <c r="A90" s="25"/>
      <c r="B90" s="25"/>
      <c r="C90" s="25"/>
      <c r="D90" s="25"/>
      <c r="E90" s="25"/>
      <c r="F90" s="25"/>
      <c r="G90" s="25"/>
      <c r="H90" s="25"/>
      <c r="I90" s="24"/>
      <c r="J90" s="30"/>
      <c r="K90" s="16">
        <v>-8.4078047999999998E-7</v>
      </c>
      <c r="L90" s="16">
        <v>8.4007643999999999E-7</v>
      </c>
      <c r="M90" s="16" t="s">
        <v>116</v>
      </c>
      <c r="N90" s="16" t="s">
        <v>115</v>
      </c>
      <c r="O90" s="32" t="s">
        <v>117</v>
      </c>
      <c r="P90" s="33">
        <v>6.569986331658E-6</v>
      </c>
      <c r="Q90" s="33">
        <v>6.569986331658E-6</v>
      </c>
      <c r="R90" s="33">
        <v>6.569986331658E-6</v>
      </c>
      <c r="S90" s="33">
        <v>6.569986331658E-6</v>
      </c>
      <c r="T90" s="33">
        <v>6.569986331658E-6</v>
      </c>
      <c r="U90" s="33">
        <v>6.569986331658E-6</v>
      </c>
      <c r="V90" s="28">
        <v>6.5718731484589997E-6</v>
      </c>
      <c r="W90" s="33">
        <v>6.5718731484589997E-6</v>
      </c>
      <c r="X90" s="14">
        <v>-8.4078047999999998E-7</v>
      </c>
      <c r="Y90" s="14">
        <v>8.4007643999999999E-7</v>
      </c>
      <c r="Z90" s="14" t="s">
        <v>116</v>
      </c>
      <c r="AA90" s="14" t="s">
        <v>115</v>
      </c>
    </row>
    <row r="91" spans="1:27" x14ac:dyDescent="0.2">
      <c r="A91" s="25"/>
      <c r="B91" s="25"/>
      <c r="C91" s="25"/>
      <c r="D91" s="25"/>
      <c r="E91" s="25"/>
      <c r="F91" s="25"/>
      <c r="G91" s="25"/>
      <c r="H91" s="25"/>
      <c r="I91" s="24"/>
      <c r="J91" s="30"/>
      <c r="K91" s="16">
        <v>-4.0895996199999997E-6</v>
      </c>
      <c r="L91" s="16">
        <v>4.08960694E-6</v>
      </c>
      <c r="M91" s="16" t="s">
        <v>113</v>
      </c>
      <c r="N91" s="16" t="s">
        <v>112</v>
      </c>
      <c r="O91" s="32" t="s">
        <v>114</v>
      </c>
      <c r="P91" s="33">
        <v>1.7638965196569998E-8</v>
      </c>
      <c r="Q91" s="33">
        <v>1.7638965196569998E-8</v>
      </c>
      <c r="R91" s="33">
        <v>1.7638965196569998E-8</v>
      </c>
      <c r="S91" s="33">
        <v>1.7638965196569998E-8</v>
      </c>
      <c r="T91" s="33">
        <v>1.7638965196569998E-8</v>
      </c>
      <c r="U91" s="33">
        <v>1.7638965196569998E-8</v>
      </c>
      <c r="V91" s="28">
        <v>1.7646564264539999E-8</v>
      </c>
      <c r="W91" s="33">
        <v>1.7646564264539999E-8</v>
      </c>
      <c r="X91" s="14">
        <v>-4.0895996199999997E-6</v>
      </c>
      <c r="Y91" s="14">
        <v>4.08960694E-6</v>
      </c>
      <c r="Z91" s="14" t="s">
        <v>113</v>
      </c>
      <c r="AA91" s="14" t="s">
        <v>112</v>
      </c>
    </row>
    <row r="92" spans="1:27" x14ac:dyDescent="0.2">
      <c r="A92" s="25"/>
      <c r="B92" s="25"/>
      <c r="C92" s="25"/>
      <c r="D92" s="25"/>
      <c r="E92" s="25"/>
      <c r="F92" s="25"/>
      <c r="G92" s="25"/>
      <c r="H92" s="25"/>
      <c r="I92" s="24"/>
      <c r="J92" s="30"/>
      <c r="K92" s="16">
        <v>-2.5614575000000002E-7</v>
      </c>
      <c r="L92" s="16">
        <v>2.5613906999999998E-7</v>
      </c>
      <c r="M92" s="16" t="s">
        <v>110</v>
      </c>
      <c r="N92" s="16" t="s">
        <v>109</v>
      </c>
      <c r="O92" s="32" t="s">
        <v>111</v>
      </c>
      <c r="P92" s="33">
        <v>5.3973798169299997E-11</v>
      </c>
      <c r="Q92" s="33">
        <v>5.3973798169299997E-11</v>
      </c>
      <c r="R92" s="33">
        <v>5.3973798169299997E-11</v>
      </c>
      <c r="S92" s="33">
        <v>5.3973798169299997E-11</v>
      </c>
      <c r="T92" s="33">
        <v>5.3973798169299997E-11</v>
      </c>
      <c r="U92" s="33">
        <v>5.3973798169299997E-11</v>
      </c>
      <c r="V92" s="28">
        <v>5.4004821877600003E-11</v>
      </c>
      <c r="W92" s="33">
        <v>5.4004821877600003E-11</v>
      </c>
      <c r="X92" s="14">
        <v>-2.5614575000000002E-7</v>
      </c>
      <c r="Y92" s="14">
        <v>2.5613906999999998E-7</v>
      </c>
      <c r="Z92" s="14" t="s">
        <v>110</v>
      </c>
      <c r="AA92" s="14" t="s">
        <v>109</v>
      </c>
    </row>
    <row r="93" spans="1:27" x14ac:dyDescent="0.2">
      <c r="A93" s="25"/>
      <c r="B93" s="25" t="s">
        <v>108</v>
      </c>
      <c r="C93" s="25">
        <f t="shared" ref="C93:J93" si="40">2*(ATAN(POWER((1-C88*SIN(C82))/(1+C88*SIN(C82)),C88/2)*TAN(C82/2+C85/4))-C85/4)</f>
        <v>0.88350919985878473</v>
      </c>
      <c r="D93" s="25">
        <f t="shared" si="40"/>
        <v>0.88350919985878473</v>
      </c>
      <c r="E93" s="25">
        <f t="shared" si="40"/>
        <v>0.88350919985878473</v>
      </c>
      <c r="F93" s="25">
        <f t="shared" si="40"/>
        <v>0.88350919985878473</v>
      </c>
      <c r="G93" s="25">
        <f t="shared" si="40"/>
        <v>0.88350919985878473</v>
      </c>
      <c r="H93" s="25">
        <f t="shared" si="40"/>
        <v>0.88350919985878473</v>
      </c>
      <c r="I93" s="24">
        <f t="shared" si="40"/>
        <v>0.88350362215205402</v>
      </c>
      <c r="J93" s="30">
        <f t="shared" si="40"/>
        <v>0.88350362215205402</v>
      </c>
      <c r="K93" s="16">
        <v>4.0896000700000002E-6</v>
      </c>
      <c r="L93" s="16">
        <v>-4.0896065000000001E-6</v>
      </c>
      <c r="M93" s="16" t="s">
        <v>107</v>
      </c>
      <c r="N93" s="16" t="s">
        <v>106</v>
      </c>
      <c r="O93" s="29" t="s">
        <v>108</v>
      </c>
      <c r="P93" s="28">
        <f t="shared" ref="P93:W93" si="41">ASIN(COS(P95)*SIN(P96))</f>
        <v>-3.1502856432194554E-2</v>
      </c>
      <c r="Q93" s="28">
        <f t="shared" si="41"/>
        <v>-3.7246365717489675E-2</v>
      </c>
      <c r="R93" s="28">
        <f t="shared" si="41"/>
        <v>-9.9109625895637665E-3</v>
      </c>
      <c r="S93" s="28">
        <f t="shared" si="41"/>
        <v>-1.4428309407128648E-3</v>
      </c>
      <c r="T93" s="28">
        <f t="shared" si="41"/>
        <v>0.73666454292586692</v>
      </c>
      <c r="U93" s="28">
        <f t="shared" si="41"/>
        <v>0</v>
      </c>
      <c r="V93" s="28">
        <f t="shared" si="41"/>
        <v>0</v>
      </c>
      <c r="W93" s="28">
        <f t="shared" si="41"/>
        <v>0.82872103988678603</v>
      </c>
      <c r="X93" s="14">
        <v>4.0896000700000002E-6</v>
      </c>
      <c r="Y93" s="14">
        <v>-4.0896065000000001E-6</v>
      </c>
      <c r="Z93" s="14" t="s">
        <v>107</v>
      </c>
      <c r="AA93" s="14" t="s">
        <v>106</v>
      </c>
    </row>
    <row r="94" spans="1:27" x14ac:dyDescent="0.2">
      <c r="A94" s="25"/>
      <c r="B94" s="25" t="s">
        <v>105</v>
      </c>
      <c r="C94" s="25">
        <f t="shared" ref="C94:J94" si="42">C81-C84</f>
        <v>-1.1367040124512395E-2</v>
      </c>
      <c r="D94" s="25">
        <f t="shared" si="42"/>
        <v>-1.8687726709266383E-2</v>
      </c>
      <c r="E94" s="25">
        <f t="shared" si="42"/>
        <v>5.9755126894256549E-2</v>
      </c>
      <c r="F94" s="25">
        <f t="shared" si="42"/>
        <v>6.5621372435681946E-2</v>
      </c>
      <c r="G94" s="25">
        <f t="shared" si="42"/>
        <v>2.5721206480367131E-2</v>
      </c>
      <c r="H94" s="25">
        <f t="shared" si="42"/>
        <v>-6.2272476641013708E-2</v>
      </c>
      <c r="I94" s="24">
        <f t="shared" si="42"/>
        <v>-6.2303192758454307E-2</v>
      </c>
      <c r="J94" s="30">
        <f t="shared" si="42"/>
        <v>2.4963269841262181E-2</v>
      </c>
      <c r="K94" s="16">
        <v>-8.4078195999999995E-7</v>
      </c>
      <c r="L94" s="16">
        <v>8.4076292000000002E-7</v>
      </c>
      <c r="M94" s="16" t="s">
        <v>104</v>
      </c>
      <c r="N94" s="16" t="s">
        <v>103</v>
      </c>
      <c r="O94" s="32" t="s">
        <v>105</v>
      </c>
      <c r="P94" s="28">
        <f>ATAN((TAN(P95))/COS(P96))+0.000000006</f>
        <v>-0.60716846155481663</v>
      </c>
      <c r="Q94" s="28">
        <f>ATAN((TAN(Q95))/COS(Q96))+0.000000006</f>
        <v>-0.5928563472019881</v>
      </c>
      <c r="R94" s="28">
        <f>ATAN((TAN(R95))/COS(R96))+0.000000006</f>
        <v>-0.44723187225529243</v>
      </c>
      <c r="S94" s="28">
        <f>ATAN((TAN(S95))/COS(S96))+0.000000006</f>
        <v>-0.48256240851918142</v>
      </c>
      <c r="T94" s="28">
        <f>ATAN((TAN(T95))/COS(T96))+0.000000006</f>
        <v>-5.0239592762952319E-2</v>
      </c>
      <c r="U94" s="28">
        <f>ATAN((TAN(U95))/COS(U96))</f>
        <v>-0.52293787845982664</v>
      </c>
      <c r="V94" s="28">
        <f>ATAN((TAN(V95))/COS(V96))</f>
        <v>-1.0531829431573949</v>
      </c>
      <c r="W94" s="28">
        <f>ATAN((TAN(W95))/COS(W96))</f>
        <v>-0.11631468133994802</v>
      </c>
      <c r="X94" s="14">
        <v>-8.4078195999999995E-7</v>
      </c>
      <c r="Y94" s="14">
        <v>8.4076292000000002E-7</v>
      </c>
      <c r="Z94" s="14" t="s">
        <v>104</v>
      </c>
      <c r="AA94" s="14" t="s">
        <v>103</v>
      </c>
    </row>
    <row r="95" spans="1:27" x14ac:dyDescent="0.2">
      <c r="A95" s="25"/>
      <c r="B95" s="25"/>
      <c r="C95" s="25"/>
      <c r="D95" s="25"/>
      <c r="E95" s="25"/>
      <c r="F95" s="25"/>
      <c r="G95" s="25"/>
      <c r="H95" s="25"/>
      <c r="I95" s="24"/>
      <c r="J95" s="30"/>
      <c r="K95" s="16">
        <v>1.73888389E-6</v>
      </c>
      <c r="L95" s="16">
        <v>-1.73888787E-6</v>
      </c>
      <c r="M95" s="16" t="s">
        <v>101</v>
      </c>
      <c r="N95" s="16" t="s">
        <v>100</v>
      </c>
      <c r="O95" s="32" t="s">
        <v>102</v>
      </c>
      <c r="P95" s="28">
        <f t="shared" ref="P95:W95" si="43">2*ATAN(EXP(P97))-PI()/2</f>
        <v>-0.60682381058081825</v>
      </c>
      <c r="Q95" s="28">
        <f t="shared" si="43"/>
        <v>-0.5923891711838164</v>
      </c>
      <c r="R95" s="28">
        <f t="shared" si="43"/>
        <v>-0.44720832146523826</v>
      </c>
      <c r="S95" s="28">
        <f t="shared" si="43"/>
        <v>-0.48256186923104516</v>
      </c>
      <c r="T95" s="28">
        <f t="shared" si="43"/>
        <v>-3.7206080253737728E-2</v>
      </c>
      <c r="U95" s="28">
        <f t="shared" si="43"/>
        <v>-0.52293787845982664</v>
      </c>
      <c r="V95" s="28">
        <f t="shared" si="43"/>
        <v>-1.0531829431573949</v>
      </c>
      <c r="W95" s="28">
        <f t="shared" si="43"/>
        <v>-7.8511174412328133E-2</v>
      </c>
      <c r="X95" s="14">
        <v>1.73888389E-6</v>
      </c>
      <c r="Y95" s="14">
        <v>-1.73888787E-6</v>
      </c>
      <c r="Z95" s="14" t="s">
        <v>101</v>
      </c>
      <c r="AA95" s="14" t="s">
        <v>100</v>
      </c>
    </row>
    <row r="96" spans="1:27" x14ac:dyDescent="0.2">
      <c r="A96" s="25"/>
      <c r="B96" s="25" t="s">
        <v>99</v>
      </c>
      <c r="C96" s="25">
        <f t="shared" ref="C96:J96" si="44">ATAN(SIN(C80)/(COS(C80)*COS(C81-C84)))</f>
        <v>0.88354088286329369</v>
      </c>
      <c r="D96" s="25">
        <f t="shared" si="44"/>
        <v>0.88359483574357767</v>
      </c>
      <c r="E96" s="25">
        <f t="shared" si="44"/>
        <v>0.88438510701773188</v>
      </c>
      <c r="F96" s="25">
        <f t="shared" si="44"/>
        <v>0.88456561829661484</v>
      </c>
      <c r="G96" s="25">
        <f t="shared" si="44"/>
        <v>0.88367143372070001</v>
      </c>
      <c r="H96" s="25">
        <f t="shared" si="44"/>
        <v>0.88446049597111653</v>
      </c>
      <c r="I96" s="24">
        <f t="shared" si="44"/>
        <v>0.88445585950692684</v>
      </c>
      <c r="J96" s="30">
        <f t="shared" si="44"/>
        <v>0.88365643531827887</v>
      </c>
      <c r="K96" s="16">
        <v>2.5613864000000001E-7</v>
      </c>
      <c r="L96" s="16">
        <v>-2.5614617999999999E-7</v>
      </c>
      <c r="M96" s="16" t="s">
        <v>97</v>
      </c>
      <c r="N96" s="16" t="s">
        <v>96</v>
      </c>
      <c r="O96" s="29" t="s">
        <v>98</v>
      </c>
      <c r="P96" s="28">
        <f>P102+(P98*SIN(2*P102)*COSH(2*P103)+P99*SIN(4*P102)*COSH(4*P103)+P100*SIN(6*P102)*COSH(6*P103)+P101*SIN(8*P102)*COSH(8*P103))</f>
        <v>-3.8352735485383767E-2</v>
      </c>
      <c r="Q96" s="28">
        <f>Q102+(Q98*SIN(2*Q102)*COSH(2*Q103)+Q99*SIN(4*Q102)*COSH(4*Q103)+Q100*SIN(6*Q102)*COSH(6*Q103)+Q101*SIN(8*Q102)*COSH(8*Q103))</f>
        <v>-4.4900991693033861E-2</v>
      </c>
      <c r="R96" s="28">
        <f>R102+(R98*SIN(2*R102)*COSH(2*R103)+R99*SIN(4*R102)*COSH(4*R103)+R100*SIN(6*R102)*COSH(6*R103)+R101*SIN(8*R102)*COSH(8*R103))</f>
        <v>-1.0991973984592259E-2</v>
      </c>
      <c r="S96" s="28">
        <f>S102+(S98*SIN(2*S102)*COSH(2*S103)+S99*SIN(4*S102)*COSH(4*S103)+S100*SIN(6*S102)*COSH(6*S103)+S101*SIN(8*S102)*COSH(8*S103))</f>
        <v>-1.6288286588760378E-3</v>
      </c>
      <c r="T96" s="28">
        <f>T102+(T98*SIN(2*T102)*COSH(2*T103)+T99*SIN(4*T102)*COSH(4*T103)+T100*SIN(6*T102)*COSH(6*T103)+T101*SIN(8*T102)*COSH(8*T103))</f>
        <v>0.7372928551855098</v>
      </c>
      <c r="U96" s="28">
        <f>U107+U102+(U98*SIN(2*U102)*COSH(2*U103)+U99*SIN(4*U102)*COSH(4*U103)+U100*SIN(6*U102)*COSH(6*U103)+U101*SIN(8*U102)*COSH(8*U103))</f>
        <v>0</v>
      </c>
      <c r="V96" s="28">
        <f>V107+V102+(V98*SIN(2*V102)*COSH(2*V103)+V99*SIN(4*V102)*COSH(4*V103)+V100*SIN(6*V102)*COSH(6*V103)+V101*SIN(8*V102)*COSH(8*V103))</f>
        <v>0</v>
      </c>
      <c r="W96" s="28">
        <f>W107+W102+(W98*SIN(2*W102)*COSH(2*W103)+W99*SIN(4*W102)*COSH(4*W103)+W100*SIN(6*W102)*COSH(6*W103)+W101*SIN(8*W102)*COSH(8*W103))</f>
        <v>0.8320972371565426</v>
      </c>
      <c r="X96" s="14">
        <v>2.5613864000000001E-7</v>
      </c>
      <c r="Y96" s="14">
        <v>-2.5614617999999999E-7</v>
      </c>
      <c r="Z96" s="14" t="s">
        <v>97</v>
      </c>
      <c r="AA96" s="14" t="s">
        <v>96</v>
      </c>
    </row>
    <row r="97" spans="1:27" x14ac:dyDescent="0.2">
      <c r="A97" s="25"/>
      <c r="B97" s="25" t="s">
        <v>95</v>
      </c>
      <c r="C97" s="25">
        <f t="shared" ref="C97:J97" si="45">0.5*LN((1+COS(C80)*SIN(C81-C84))/(1-COS(C80)*SIN(C81-C84)))</f>
        <v>-7.2117036392502611E-3</v>
      </c>
      <c r="D97" s="25">
        <f t="shared" si="45"/>
        <v>-1.1856154401992459E-2</v>
      </c>
      <c r="E97" s="25">
        <f t="shared" si="45"/>
        <v>3.7906783638933697E-2</v>
      </c>
      <c r="F97" s="25">
        <f t="shared" si="45"/>
        <v>4.1627144988457265E-2</v>
      </c>
      <c r="G97" s="25">
        <f t="shared" si="45"/>
        <v>1.6318276827229694E-2</v>
      </c>
      <c r="H97" s="25">
        <f t="shared" si="45"/>
        <v>-3.9503314840688357E-2</v>
      </c>
      <c r="I97" s="24">
        <f t="shared" si="45"/>
        <v>-3.9523063902632397E-2</v>
      </c>
      <c r="J97" s="30">
        <f t="shared" si="45"/>
        <v>1.583754734912609E-2</v>
      </c>
      <c r="K97" s="16">
        <v>-1.73888494E-6</v>
      </c>
      <c r="L97" s="16">
        <v>1.73888682E-6</v>
      </c>
      <c r="M97" s="16" t="s">
        <v>93</v>
      </c>
      <c r="N97" s="16" t="s">
        <v>92</v>
      </c>
      <c r="O97" s="29" t="s">
        <v>94</v>
      </c>
      <c r="P97" s="28">
        <f t="shared" ref="P97:W97" si="46">P103+(P98*COS(2*P102)*SINH(2*P103)+P99*COS(4*P102)*SINH(4*P103)+P100*COS(6*P102)*SINH(6*P103)+(P101*COS(8*P102)*SINH(8*P103)))</f>
        <v>-0.64790986180426713</v>
      </c>
      <c r="Q97" s="28">
        <f t="shared" si="46"/>
        <v>-0.6304248561189707</v>
      </c>
      <c r="R97" s="28">
        <f t="shared" si="46"/>
        <v>-0.46290644919436785</v>
      </c>
      <c r="S97" s="28">
        <f t="shared" si="46"/>
        <v>-0.50246051581865403</v>
      </c>
      <c r="T97" s="28">
        <f t="shared" si="46"/>
        <v>-3.721466724136667E-2</v>
      </c>
      <c r="U97" s="28">
        <f t="shared" si="46"/>
        <v>-0.54854315155490319</v>
      </c>
      <c r="V97" s="28">
        <f t="shared" si="46"/>
        <v>-1.3289912360505223</v>
      </c>
      <c r="W97" s="28">
        <f t="shared" si="46"/>
        <v>-7.8591956133648E-2</v>
      </c>
      <c r="X97" s="14">
        <v>-1.73888494E-6</v>
      </c>
      <c r="Y97" s="14">
        <v>1.73888682E-6</v>
      </c>
      <c r="Z97" s="14" t="s">
        <v>93</v>
      </c>
      <c r="AA97" s="14" t="s">
        <v>92</v>
      </c>
    </row>
    <row r="98" spans="1:27" x14ac:dyDescent="0.2">
      <c r="A98" s="25"/>
      <c r="B98" s="25" t="s">
        <v>91</v>
      </c>
      <c r="C98" s="25">
        <v>8.3761175714030004E-4</v>
      </c>
      <c r="D98" s="25">
        <v>8.3761175714030004E-4</v>
      </c>
      <c r="E98" s="25">
        <v>8.3761175714030004E-4</v>
      </c>
      <c r="F98" s="25">
        <v>8.3761175714030004E-4</v>
      </c>
      <c r="G98" s="25">
        <v>8.3761175714030004E-4</v>
      </c>
      <c r="H98" s="25">
        <v>8.3761175714030004E-4</v>
      </c>
      <c r="I98" s="24">
        <v>8.377318247344E-4</v>
      </c>
      <c r="J98" s="30">
        <v>8.377318247344E-4</v>
      </c>
      <c r="K98" s="16">
        <v>-8.4077363000000002E-7</v>
      </c>
      <c r="L98" s="16">
        <v>8.4077124999999996E-7</v>
      </c>
      <c r="M98" s="16" t="s">
        <v>89</v>
      </c>
      <c r="N98" s="16" t="s">
        <v>88</v>
      </c>
      <c r="O98" s="29" t="s">
        <v>90</v>
      </c>
      <c r="P98" s="28">
        <v>-8.3761210042229998E-4</v>
      </c>
      <c r="Q98" s="28">
        <v>-8.3761210042229998E-4</v>
      </c>
      <c r="R98" s="28">
        <v>-8.3761210042229998E-4</v>
      </c>
      <c r="S98" s="28">
        <v>-8.3761210042229998E-4</v>
      </c>
      <c r="T98" s="28">
        <v>-8.3761210042229998E-4</v>
      </c>
      <c r="U98" s="28">
        <v>-8.3761210042229998E-4</v>
      </c>
      <c r="V98" s="28">
        <v>-8.3773216816410004E-4</v>
      </c>
      <c r="W98" s="28">
        <v>-8.3773216816410004E-4</v>
      </c>
      <c r="X98" s="14">
        <v>-8.4077363000000002E-7</v>
      </c>
      <c r="Y98" s="14">
        <v>8.4077124999999996E-7</v>
      </c>
      <c r="Z98" s="14" t="s">
        <v>89</v>
      </c>
      <c r="AA98" s="14" t="s">
        <v>88</v>
      </c>
    </row>
    <row r="99" spans="1:27" x14ac:dyDescent="0.2">
      <c r="A99" s="25"/>
      <c r="B99" s="25" t="s">
        <v>87</v>
      </c>
      <c r="C99" s="25">
        <v>7.6063461415339995E-7</v>
      </c>
      <c r="D99" s="25">
        <v>7.6063461415339995E-7</v>
      </c>
      <c r="E99" s="25">
        <v>7.6063461415339995E-7</v>
      </c>
      <c r="F99" s="25">
        <v>7.6063461415339995E-7</v>
      </c>
      <c r="G99" s="25">
        <v>7.6063461415339995E-7</v>
      </c>
      <c r="H99" s="25">
        <v>7.6063461415339995E-7</v>
      </c>
      <c r="I99" s="24">
        <v>7.6085277888259997E-7</v>
      </c>
      <c r="J99" s="30">
        <v>7.6085277888259997E-7</v>
      </c>
      <c r="K99" s="16">
        <v>-33.429699999999997</v>
      </c>
      <c r="L99" s="16">
        <v>-33.429699999999997</v>
      </c>
      <c r="M99" s="16" t="s">
        <v>85</v>
      </c>
      <c r="N99" s="16" t="s">
        <v>85</v>
      </c>
      <c r="O99" s="29" t="s">
        <v>86</v>
      </c>
      <c r="P99" s="28">
        <v>-5.9041685702119999E-8</v>
      </c>
      <c r="Q99" s="28">
        <v>-5.9041685702119999E-8</v>
      </c>
      <c r="R99" s="28">
        <v>-5.9041685702119999E-8</v>
      </c>
      <c r="S99" s="28">
        <v>-5.9041685702119999E-8</v>
      </c>
      <c r="T99" s="28">
        <v>-5.9041685702119999E-8</v>
      </c>
      <c r="U99" s="28">
        <v>-5.9041685702119999E-8</v>
      </c>
      <c r="V99" s="28">
        <v>-5.9058696260830001E-8</v>
      </c>
      <c r="W99" s="28">
        <v>-5.9058696260830001E-8</v>
      </c>
      <c r="X99" s="14">
        <v>-33.429699999999997</v>
      </c>
      <c r="Y99" s="14">
        <v>-33.429699999999997</v>
      </c>
      <c r="Z99" s="14" t="s">
        <v>85</v>
      </c>
      <c r="AA99" s="14" t="s">
        <v>85</v>
      </c>
    </row>
    <row r="100" spans="1:27" x14ac:dyDescent="0.2">
      <c r="A100" s="25"/>
      <c r="B100" s="25" t="s">
        <v>84</v>
      </c>
      <c r="C100" s="25">
        <v>1.197122824063E-9</v>
      </c>
      <c r="D100" s="25">
        <v>1.197122824063E-9</v>
      </c>
      <c r="E100" s="25">
        <v>1.197122824063E-9</v>
      </c>
      <c r="F100" s="25">
        <v>1.197122824063E-9</v>
      </c>
      <c r="G100" s="25">
        <v>1.197122824063E-9</v>
      </c>
      <c r="H100" s="25">
        <v>1.197122824063E-9</v>
      </c>
      <c r="I100" s="24">
        <v>1.197638019173E-9</v>
      </c>
      <c r="J100" s="30">
        <v>1.197638019173E-9</v>
      </c>
      <c r="K100" s="16">
        <v>146.5746</v>
      </c>
      <c r="L100" s="16">
        <v>146.5746</v>
      </c>
      <c r="M100" s="16" t="s">
        <v>82</v>
      </c>
      <c r="N100" s="16" t="s">
        <v>82</v>
      </c>
      <c r="O100" s="29" t="s">
        <v>83</v>
      </c>
      <c r="P100" s="28">
        <v>-1.6727683394650001E-10</v>
      </c>
      <c r="Q100" s="28">
        <v>-1.6727683394650001E-10</v>
      </c>
      <c r="R100" s="28">
        <v>-1.6727683394650001E-10</v>
      </c>
      <c r="S100" s="28">
        <v>-1.6727683394650001E-10</v>
      </c>
      <c r="T100" s="28">
        <v>-1.6727683394650001E-10</v>
      </c>
      <c r="U100" s="28">
        <v>-1.6727683394650001E-10</v>
      </c>
      <c r="V100" s="28">
        <v>-1.673488904988E-10</v>
      </c>
      <c r="W100" s="28">
        <v>-1.673488904988E-10</v>
      </c>
      <c r="X100" s="14">
        <v>146.5746</v>
      </c>
      <c r="Y100" s="14">
        <v>146.5746</v>
      </c>
      <c r="Z100" s="14" t="s">
        <v>82</v>
      </c>
      <c r="AA100" s="14" t="s">
        <v>82</v>
      </c>
    </row>
    <row r="101" spans="1:27" x14ac:dyDescent="0.2">
      <c r="A101" s="25"/>
      <c r="B101" s="25" t="s">
        <v>81</v>
      </c>
      <c r="C101" s="25">
        <v>2.4419726161459999E-12</v>
      </c>
      <c r="D101" s="25">
        <v>2.4419726161459999E-12</v>
      </c>
      <c r="E101" s="25">
        <v>2.4419726161459999E-12</v>
      </c>
      <c r="F101" s="25">
        <v>2.4419726161459999E-12</v>
      </c>
      <c r="G101" s="25">
        <v>2.4419726161459999E-12</v>
      </c>
      <c r="H101" s="25">
        <v>2.4419726161459999E-12</v>
      </c>
      <c r="I101" s="24">
        <v>2.4433762425000001E-12</v>
      </c>
      <c r="J101" s="30">
        <v>2.4433762425000001E-12</v>
      </c>
      <c r="K101" s="16">
        <v>76.286500000000004</v>
      </c>
      <c r="L101" s="16">
        <v>76.286500000000004</v>
      </c>
      <c r="M101" s="16" t="s">
        <v>79</v>
      </c>
      <c r="N101" s="16" t="s">
        <v>79</v>
      </c>
      <c r="O101" s="29" t="s">
        <v>80</v>
      </c>
      <c r="P101" s="28">
        <v>-2.1664925229899999E-13</v>
      </c>
      <c r="Q101" s="28">
        <v>-2.1664925229899999E-13</v>
      </c>
      <c r="R101" s="28">
        <v>-2.1664925229899999E-13</v>
      </c>
      <c r="S101" s="28">
        <v>-2.1664925229899999E-13</v>
      </c>
      <c r="T101" s="28">
        <v>-2.1664925229899999E-13</v>
      </c>
      <c r="U101" s="28">
        <v>-2.1664925229899999E-13</v>
      </c>
      <c r="V101" s="28">
        <v>-2.1677378055969999E-13</v>
      </c>
      <c r="W101" s="28">
        <v>-2.1677378055969999E-13</v>
      </c>
      <c r="X101" s="14">
        <v>76.286500000000004</v>
      </c>
      <c r="Y101" s="14">
        <v>76.286500000000004</v>
      </c>
      <c r="Z101" s="14" t="s">
        <v>79</v>
      </c>
      <c r="AA101" s="14" t="s">
        <v>79</v>
      </c>
    </row>
    <row r="102" spans="1:27" x14ac:dyDescent="0.2">
      <c r="A102" s="25"/>
      <c r="B102" s="25"/>
      <c r="C102" s="25"/>
      <c r="D102" s="25"/>
      <c r="E102" s="25"/>
      <c r="F102" s="25"/>
      <c r="G102" s="25"/>
      <c r="H102" s="25"/>
      <c r="I102" s="24"/>
      <c r="J102" s="30"/>
      <c r="K102" s="16">
        <f>K87+K90*(K87-K99)+K91*(K88-K100)+K92*(K89-K101)-K99</f>
        <v>6378473.0674188165</v>
      </c>
      <c r="L102" s="16">
        <f>L87+L90*L87+L91*L88+L92*L89+L99</f>
        <v>6378308.9285906395</v>
      </c>
      <c r="M102" s="16" t="s">
        <v>72</v>
      </c>
      <c r="N102" s="16" t="s">
        <v>71</v>
      </c>
      <c r="O102" s="32" t="s">
        <v>78</v>
      </c>
      <c r="P102" s="28">
        <f t="shared" ref="P102:W102" si="47">P104/C86</f>
        <v>-3.8479573839873896E-2</v>
      </c>
      <c r="Q102" s="28">
        <f t="shared" si="47"/>
        <v>-4.504501889347657E-2</v>
      </c>
      <c r="R102" s="28">
        <f t="shared" si="47"/>
        <v>-1.1018967211195663E-2</v>
      </c>
      <c r="S102" s="28">
        <f t="shared" si="47"/>
        <v>-1.6330739556420419E-3</v>
      </c>
      <c r="T102" s="28">
        <f t="shared" si="47"/>
        <v>0.73812904956721903</v>
      </c>
      <c r="U102" s="28">
        <f t="shared" si="47"/>
        <v>0</v>
      </c>
      <c r="V102" s="28">
        <f t="shared" si="47"/>
        <v>0</v>
      </c>
      <c r="W102" s="28">
        <f t="shared" si="47"/>
        <v>0.83294149311620591</v>
      </c>
      <c r="X102" s="14">
        <f>X87+X90*(X87-X99)+X91*(X88-X100)+X92*(X89-X101)-X99</f>
        <v>6378473.0674188165</v>
      </c>
      <c r="Y102" s="14">
        <f>Y87+Y90*Y87+Y91*Y88+Y92*Y89+Y99</f>
        <v>6378308.9285906395</v>
      </c>
      <c r="Z102" s="14" t="s">
        <v>72</v>
      </c>
      <c r="AA102" s="14" t="s">
        <v>71</v>
      </c>
    </row>
    <row r="103" spans="1:27" x14ac:dyDescent="0.2">
      <c r="A103" s="25"/>
      <c r="B103" s="25"/>
      <c r="C103" s="25"/>
      <c r="D103" s="25"/>
      <c r="E103" s="25"/>
      <c r="F103" s="25"/>
      <c r="G103" s="25"/>
      <c r="H103" s="25"/>
      <c r="I103" s="24"/>
      <c r="J103" s="30"/>
      <c r="K103" s="16">
        <f>K88+K93*(K87-K99)+K94*(K88-K100)+K95*(K89-K101)-K100</f>
        <v>-120.48918358349179</v>
      </c>
      <c r="L103" s="16">
        <f>L88+L93*L87+L94*L88+L95*L89+L100</f>
        <v>120.48971154560951</v>
      </c>
      <c r="M103" s="16" t="s">
        <v>69</v>
      </c>
      <c r="N103" s="16" t="s">
        <v>68</v>
      </c>
      <c r="O103" s="32" t="s">
        <v>77</v>
      </c>
      <c r="P103" s="28">
        <f t="shared" ref="P103:W103" si="48">P105/C86</f>
        <v>-0.64932641421336856</v>
      </c>
      <c r="Q103" s="28">
        <f t="shared" si="48"/>
        <v>-0.63178306134848372</v>
      </c>
      <c r="R103" s="28">
        <f t="shared" si="48"/>
        <v>-0.46379970160197248</v>
      </c>
      <c r="S103" s="28">
        <f t="shared" si="48"/>
        <v>-0.50345404448312103</v>
      </c>
      <c r="T103" s="28">
        <f t="shared" si="48"/>
        <v>-3.7220549946261901E-2</v>
      </c>
      <c r="U103" s="28">
        <f t="shared" si="48"/>
        <v>-0.5496612244269824</v>
      </c>
      <c r="V103" s="28">
        <f t="shared" si="48"/>
        <v>-1.3350172660660358</v>
      </c>
      <c r="W103" s="28">
        <f t="shared" si="48"/>
        <v>-7.8579386143038291E-2</v>
      </c>
      <c r="X103" s="14">
        <f>X88+X93*(X87-X99)+X94*(X88-X100)+X95*(X89-X101)-X100</f>
        <v>-120.48918358349179</v>
      </c>
      <c r="Y103" s="14">
        <f>Y88+Y93*Y87+Y94*Y88+Y95*Y89+Y100</f>
        <v>120.48971154560951</v>
      </c>
      <c r="Z103" s="14" t="s">
        <v>69</v>
      </c>
      <c r="AA103" s="14" t="s">
        <v>68</v>
      </c>
    </row>
    <row r="104" spans="1:27" x14ac:dyDescent="0.2">
      <c r="A104" s="25"/>
      <c r="B104" s="25" t="s">
        <v>76</v>
      </c>
      <c r="C104" s="25">
        <f t="shared" ref="C104:J104" si="49">C86*(C96+(C98*SIN(2*C96)*COSH(2*C97))+(C99*SIN(4*C96)*COSH(4*C97))+(C100*SIN(6*C96)*COSH(6*C97))+(C101*SIN(8*C96)*COSH(8*C97)))</f>
        <v>5631228.0661696233</v>
      </c>
      <c r="D104" s="25">
        <f t="shared" si="49"/>
        <v>5631572.4262918122</v>
      </c>
      <c r="E104" s="25">
        <f t="shared" si="49"/>
        <v>5636616.4045762764</v>
      </c>
      <c r="F104" s="25">
        <f t="shared" si="49"/>
        <v>5637768.530543563</v>
      </c>
      <c r="G104" s="25">
        <f t="shared" si="49"/>
        <v>5632061.3209960004</v>
      </c>
      <c r="H104" s="25">
        <f t="shared" si="49"/>
        <v>5637097.580054841</v>
      </c>
      <c r="I104" s="24">
        <f t="shared" si="49"/>
        <v>5636972.028358072</v>
      </c>
      <c r="J104" s="30">
        <f t="shared" si="49"/>
        <v>5631869.7188026179</v>
      </c>
      <c r="K104" s="16">
        <f>K89+K96*(K87-K99)+K97*(K88-K100)+K98*(K89-K101)-K101</f>
        <v>-74.652406193705261</v>
      </c>
      <c r="L104" s="16">
        <f>L85+L96*L87+L97*L88+L98*L85+L101</f>
        <v>74.652713342697339</v>
      </c>
      <c r="M104" s="16" t="s">
        <v>66</v>
      </c>
      <c r="N104" s="16" t="s">
        <v>65</v>
      </c>
      <c r="O104" s="29" t="s">
        <v>76</v>
      </c>
      <c r="P104" s="28">
        <f>C113+P114-(P114*P114*P114)/(12*C110*C110)+(P114*P115*P115)/(4*C110*C110)</f>
        <v>-245020.93736002559</v>
      </c>
      <c r="Q104" s="28">
        <f>D113+Q114-(Q114*Q114*Q114)/(12*D110*D110)+(Q114*Q115*Q115)/(4*D110*D110)</f>
        <v>-286826.7927968264</v>
      </c>
      <c r="R104" s="28">
        <f>E113+R114-(R114*R114*R114)/(12*E110*E110)+(R114*R115*R115)/(4*E110*E110)</f>
        <v>-70163.918292380869</v>
      </c>
      <c r="S104" s="28">
        <f>F113+S114-(S114*S114*S114)/(12*F110*F110)+(S114*S115*S115)/(4*F110*F110)</f>
        <v>-10398.693942265585</v>
      </c>
      <c r="T104" s="28">
        <f>(T117+4700000)/G77</f>
        <v>4700079.9013583232</v>
      </c>
      <c r="U104" s="28">
        <f>(U117)/H77</f>
        <v>0</v>
      </c>
      <c r="V104" s="28">
        <f>(V117)/I77</f>
        <v>0</v>
      </c>
      <c r="W104" s="28">
        <f>(W117+5300000)/J77</f>
        <v>5303712.5988191739</v>
      </c>
      <c r="X104" s="14">
        <f>X89+X96*(X87-X99)+X97*(X88-X100)+X98*(X89-X101)-X101</f>
        <v>-74.652406193705261</v>
      </c>
      <c r="Y104" s="14">
        <f>Y85+Y96*Y87+Y97*Y88+Y98*Y85+Y101</f>
        <v>74.652713342697339</v>
      </c>
      <c r="Z104" s="14" t="s">
        <v>66</v>
      </c>
      <c r="AA104" s="14" t="s">
        <v>65</v>
      </c>
    </row>
    <row r="105" spans="1:27" x14ac:dyDescent="0.2">
      <c r="A105" s="25"/>
      <c r="B105" s="25" t="s">
        <v>75</v>
      </c>
      <c r="C105" s="25">
        <f t="shared" ref="C105:J105" si="50">C86*(C97+(C98*COS(2*C96)*SINH(2*C97))+(C99*COS(4*C96)*SINH(4*C97))+(C100*COS(6*C96)*SINH(6*C97))+(C101*COS(8*C96)*SINH(8*C97)))</f>
        <v>-45905.812301128964</v>
      </c>
      <c r="D105" s="25">
        <f t="shared" si="50"/>
        <v>-75469.863787593829</v>
      </c>
      <c r="E105" s="25">
        <f t="shared" si="50"/>
        <v>241293.37705187281</v>
      </c>
      <c r="F105" s="25">
        <f t="shared" si="50"/>
        <v>264974.94103233051</v>
      </c>
      <c r="G105" s="25">
        <f t="shared" si="50"/>
        <v>103873.29171317686</v>
      </c>
      <c r="H105" s="25">
        <f t="shared" si="50"/>
        <v>-251455.93214224992</v>
      </c>
      <c r="I105" s="24">
        <f t="shared" si="50"/>
        <v>-251577.31476732407</v>
      </c>
      <c r="J105" s="30">
        <f t="shared" si="50"/>
        <v>100811.49804865562</v>
      </c>
      <c r="K105" s="16"/>
      <c r="L105" s="16"/>
      <c r="M105" s="16" t="s">
        <v>74</v>
      </c>
      <c r="N105" s="16" t="s">
        <v>73</v>
      </c>
      <c r="O105" s="29" t="s">
        <v>75</v>
      </c>
      <c r="P105" s="28">
        <f>P115-(P114*P114*P115)/(4*C110*C110)+(P115*P115*P115)/(12*C110*C110)+(P114*P114*P114*P114*P115)/(16*C110*C110*C110*C110)-(P114*P114*P115*P115*P115)/(8*C110*C110*C110*C110*C110*C110)+(P115*P115*P115*P115*P115)/(80*C110*C110*C110*C110)-(P114*P114*P114*P114*P114*P114*P115)/(64*C110*C110*C110*C110*C110*C110)</f>
        <v>-4134623.9260664638</v>
      </c>
      <c r="Q105" s="28">
        <f>Q115-(Q114*Q114*Q115)/(4*D110*D110)+(Q115*Q115*Q115)/(12*D110*D110)+(Q114*Q114*Q114*Q114*Q115)/(16*D110*D110*D110*D110)-(Q114*Q114*Q115*Q115*Q115)/(8*D110*D110*D110*D110*D110*D110)+(Q115*Q115*Q115*Q115*Q115)/(80*D110*D110*D110*D110)-(Q114*Q114*Q114*Q114*Q114*Q114*Q115)/(64*D110*D110*D110*D110*D110*D110)</f>
        <v>-4022915.6004680782</v>
      </c>
      <c r="R105" s="28">
        <f>R115-(R114*R114*R115)/(4*E110*E110)+(R115*R115*R115)/(12*E110*E110)+(R114*R114*R114*R114*R115)/(16*E110*E110*E110*E110)-(R114*R114*R115*R115*R115)/(8*E110*E110*E110*E110*E110*E110)+(R115*R115*R115*R115*R115)/(80*E110*E110*E110*E110)-(R114*R114*R114*R114*R114*R114*R115)/(64*E110*E110*E110*E110*E110*E110)</f>
        <v>-2953271.7307814104</v>
      </c>
      <c r="S105" s="28">
        <f>S115-(S114*S114*S115)/(4*F110*F110)+(S115*S115*S115)/(12*F110*F110)+(S114*S114*S114*S114*S115)/(16*F110*F110*F110*F110)-(S114*S114*S115*S115*S115)/(8*F110*F110*F110*F110*F110*F110)+(S115*S115*S115*S115*S115)/(80*F110*F110*F110*F110)-(S114*S114*S114*S114*S114*S114*S115)/(64*F110*F110*F110*F110*F110*F110)</f>
        <v>-3205773.0787320645</v>
      </c>
      <c r="T105" s="28">
        <f>(T118-237000)/G77</f>
        <v>-237004.02906849419</v>
      </c>
      <c r="U105" s="28">
        <f>(U118-3500000)/H77</f>
        <v>-3500000</v>
      </c>
      <c r="V105" s="28">
        <f>IF($B$151=1,(V118-5500000)/I77,IF($B$151=2,(V118-6500000)/I77,IF($B$151=3,(V118-7500000)/I77,(V118-8500000)/I77)))</f>
        <v>-8500654.55040038</v>
      </c>
      <c r="W105" s="28">
        <f>(W118-500000)/J77</f>
        <v>-500350.24517162016</v>
      </c>
      <c r="X105" s="14"/>
      <c r="Y105" s="14"/>
      <c r="Z105" s="14" t="s">
        <v>74</v>
      </c>
      <c r="AA105" s="14" t="s">
        <v>73</v>
      </c>
    </row>
    <row r="106" spans="1:27" x14ac:dyDescent="0.2">
      <c r="A106" s="25"/>
      <c r="B106" s="25"/>
      <c r="C106" s="25"/>
      <c r="D106" s="25"/>
      <c r="E106" s="25"/>
      <c r="F106" s="25"/>
      <c r="G106" s="25"/>
      <c r="H106" s="25"/>
      <c r="I106" s="24"/>
      <c r="J106" s="30"/>
      <c r="K106" s="16">
        <f t="shared" ref="K106:L108" si="51">K102</f>
        <v>6378473.0674188165</v>
      </c>
      <c r="L106" s="16">
        <f t="shared" si="51"/>
        <v>6378308.9285906395</v>
      </c>
      <c r="M106" s="16" t="s">
        <v>72</v>
      </c>
      <c r="N106" s="16" t="s">
        <v>71</v>
      </c>
      <c r="O106" s="29"/>
      <c r="P106" s="28"/>
      <c r="Q106" s="28"/>
      <c r="R106" s="28"/>
      <c r="S106" s="28"/>
      <c r="T106" s="28"/>
      <c r="U106" s="28"/>
      <c r="V106" s="28"/>
      <c r="W106" s="28"/>
      <c r="X106" s="14">
        <f t="shared" ref="X106:Y108" si="52">X102</f>
        <v>6378473.0674188165</v>
      </c>
      <c r="Y106" s="14">
        <f t="shared" si="52"/>
        <v>6378308.9285906395</v>
      </c>
      <c r="Z106" s="14" t="s">
        <v>72</v>
      </c>
      <c r="AA106" s="14" t="s">
        <v>71</v>
      </c>
    </row>
    <row r="107" spans="1:27" x14ac:dyDescent="0.2">
      <c r="A107" s="25"/>
      <c r="B107" s="25" t="s">
        <v>70</v>
      </c>
      <c r="C107" s="25"/>
      <c r="D107" s="25"/>
      <c r="E107" s="25"/>
      <c r="F107" s="25"/>
      <c r="G107" s="25"/>
      <c r="H107" s="25"/>
      <c r="I107" s="24"/>
      <c r="J107" s="30"/>
      <c r="K107" s="16">
        <f t="shared" si="51"/>
        <v>-120.48918358349179</v>
      </c>
      <c r="L107" s="16">
        <f t="shared" si="51"/>
        <v>120.48971154560951</v>
      </c>
      <c r="M107" s="16" t="s">
        <v>69</v>
      </c>
      <c r="N107" s="16" t="s">
        <v>68</v>
      </c>
      <c r="O107" s="29"/>
      <c r="P107" s="28"/>
      <c r="Q107" s="28"/>
      <c r="R107" s="28"/>
      <c r="S107" s="28"/>
      <c r="T107" s="28"/>
      <c r="U107" s="28"/>
      <c r="V107" s="28"/>
      <c r="W107" s="28"/>
      <c r="X107" s="14">
        <f t="shared" si="52"/>
        <v>-120.48918358349179</v>
      </c>
      <c r="Y107" s="14">
        <f t="shared" si="52"/>
        <v>120.48971154560951</v>
      </c>
      <c r="Z107" s="14" t="s">
        <v>69</v>
      </c>
      <c r="AA107" s="14" t="s">
        <v>68</v>
      </c>
    </row>
    <row r="108" spans="1:27" x14ac:dyDescent="0.2">
      <c r="A108" s="25"/>
      <c r="B108" s="25" t="s">
        <v>67</v>
      </c>
      <c r="C108" s="25">
        <v>5467000</v>
      </c>
      <c r="D108" s="25">
        <v>5806000</v>
      </c>
      <c r="E108" s="25">
        <v>5999000</v>
      </c>
      <c r="F108" s="25">
        <v>5627000</v>
      </c>
      <c r="G108" s="25"/>
      <c r="H108" s="25"/>
      <c r="I108" s="24"/>
      <c r="J108" s="30"/>
      <c r="K108" s="16">
        <f t="shared" si="51"/>
        <v>-74.652406193705261</v>
      </c>
      <c r="L108" s="16">
        <f t="shared" si="51"/>
        <v>74.652713342697339</v>
      </c>
      <c r="M108" s="16" t="s">
        <v>66</v>
      </c>
      <c r="N108" s="16" t="s">
        <v>65</v>
      </c>
      <c r="O108" s="29"/>
      <c r="P108" s="28"/>
      <c r="Q108" s="28"/>
      <c r="R108" s="28"/>
      <c r="S108" s="28"/>
      <c r="T108" s="28"/>
      <c r="U108" s="28"/>
      <c r="V108" s="28"/>
      <c r="W108" s="28"/>
      <c r="X108" s="14">
        <f t="shared" si="52"/>
        <v>-74.652406193705261</v>
      </c>
      <c r="Y108" s="14">
        <f t="shared" si="52"/>
        <v>74.652713342697339</v>
      </c>
      <c r="Z108" s="14" t="s">
        <v>66</v>
      </c>
      <c r="AA108" s="14" t="s">
        <v>65</v>
      </c>
    </row>
    <row r="109" spans="1:27" x14ac:dyDescent="0.2">
      <c r="A109" s="25"/>
      <c r="B109" s="25" t="s">
        <v>64</v>
      </c>
      <c r="C109" s="25">
        <v>4637000</v>
      </c>
      <c r="D109" s="25">
        <v>4603000</v>
      </c>
      <c r="E109" s="25">
        <v>3501000</v>
      </c>
      <c r="F109" s="25">
        <v>3703000</v>
      </c>
      <c r="G109" s="25"/>
      <c r="H109" s="25"/>
      <c r="I109" s="24"/>
      <c r="J109" s="30"/>
      <c r="K109" s="16"/>
      <c r="L109" s="16"/>
      <c r="M109" s="16"/>
      <c r="N109" s="16"/>
      <c r="O109" s="29"/>
      <c r="P109" s="28"/>
      <c r="Q109" s="28"/>
      <c r="R109" s="28"/>
      <c r="S109" s="28"/>
      <c r="T109" s="28"/>
      <c r="U109" s="28"/>
      <c r="V109" s="28"/>
      <c r="W109" s="28"/>
      <c r="X109" s="14"/>
      <c r="Y109" s="14"/>
      <c r="Z109" s="14"/>
      <c r="AA109" s="14"/>
    </row>
    <row r="110" spans="1:27" ht="28.5" x14ac:dyDescent="0.2">
      <c r="A110" s="25"/>
      <c r="B110" s="31" t="s">
        <v>63</v>
      </c>
      <c r="C110" s="25">
        <f>C87*POWER(1-C88*C88,1/2)/(1-C88*C88*SIN(RADIANS(C111))*SIN(RADIANS(C111)))</f>
        <v>6382390.1649836507</v>
      </c>
      <c r="D110" s="25">
        <f>D87*POWER(1-D88*D88,1/2)/(1-D88*D88*SIN(RADIANS(D111))*SIN(RADIANS(D111)))</f>
        <v>6384119.4273045957</v>
      </c>
      <c r="E110" s="25">
        <f>E87*POWER(1-E88*E88,1/2)/(1-E88*E88*SIN(RADIANS(E111))*SIN(RADIANS(E111)))</f>
        <v>6384536.7935654661</v>
      </c>
      <c r="F110" s="25">
        <f>F87*POWER(1-F88*F88,1/2)/(1-F88*F88*SIN(RADIANS(F111))*SIN(RADIANS(F111)))</f>
        <v>6383155.1651298553</v>
      </c>
      <c r="G110" s="25"/>
      <c r="H110" s="25"/>
      <c r="I110" s="24"/>
      <c r="J110" s="30"/>
      <c r="K110" s="16">
        <v>6378137</v>
      </c>
      <c r="L110" s="16">
        <v>6378245</v>
      </c>
      <c r="M110" s="16" t="s">
        <v>62</v>
      </c>
      <c r="N110" s="16" t="s">
        <v>61</v>
      </c>
      <c r="O110" s="29"/>
      <c r="P110" s="28"/>
      <c r="Q110" s="28"/>
      <c r="R110" s="28"/>
      <c r="S110" s="28"/>
      <c r="T110" s="28"/>
      <c r="U110" s="28"/>
      <c r="V110" s="28"/>
      <c r="W110" s="28"/>
      <c r="X110" s="14">
        <v>6378137</v>
      </c>
      <c r="Y110" s="14">
        <v>6378245</v>
      </c>
      <c r="Z110" s="14" t="s">
        <v>62</v>
      </c>
      <c r="AA110" s="14" t="s">
        <v>61</v>
      </c>
    </row>
    <row r="111" spans="1:27" x14ac:dyDescent="0.2">
      <c r="A111" s="25"/>
      <c r="B111" s="25" t="s">
        <v>60</v>
      </c>
      <c r="C111" s="25">
        <f t="shared" ref="C111:F112" si="53">C75</f>
        <v>50.625</v>
      </c>
      <c r="D111" s="25">
        <f t="shared" si="53"/>
        <v>53.001944444444447</v>
      </c>
      <c r="E111" s="25">
        <f t="shared" si="53"/>
        <v>53.5833333333333</v>
      </c>
      <c r="F111" s="25">
        <f t="shared" si="53"/>
        <v>51.670833333333334</v>
      </c>
      <c r="G111" s="25"/>
      <c r="H111" s="25"/>
      <c r="I111" s="24"/>
      <c r="J111" s="30"/>
      <c r="K111" s="16">
        <v>6356752.3141400004</v>
      </c>
      <c r="L111" s="16">
        <v>6356863.01877</v>
      </c>
      <c r="M111" s="16" t="s">
        <v>59</v>
      </c>
      <c r="N111" s="16" t="s">
        <v>58</v>
      </c>
      <c r="O111" s="29"/>
      <c r="P111" s="28"/>
      <c r="Q111" s="28"/>
      <c r="R111" s="28"/>
      <c r="S111" s="28"/>
      <c r="T111" s="28"/>
      <c r="U111" s="28"/>
      <c r="V111" s="28"/>
      <c r="W111" s="28"/>
      <c r="X111" s="14">
        <v>6356752.3141400004</v>
      </c>
      <c r="Y111" s="14">
        <v>6356863.01877</v>
      </c>
      <c r="Z111" s="14" t="s">
        <v>59</v>
      </c>
      <c r="AA111" s="14" t="s">
        <v>58</v>
      </c>
    </row>
    <row r="112" spans="1:27" x14ac:dyDescent="0.2">
      <c r="A112" s="25"/>
      <c r="B112" s="25" t="s">
        <v>57</v>
      </c>
      <c r="C112" s="25">
        <f t="shared" si="53"/>
        <v>21.083333333333332</v>
      </c>
      <c r="D112" s="25">
        <f t="shared" si="53"/>
        <v>21.502777777777776</v>
      </c>
      <c r="E112" s="25">
        <f t="shared" si="53"/>
        <v>17.008333333333333</v>
      </c>
      <c r="F112" s="25">
        <f t="shared" si="53"/>
        <v>16.672222222222221</v>
      </c>
      <c r="G112" s="25"/>
      <c r="H112" s="25"/>
      <c r="I112" s="24"/>
      <c r="J112" s="30"/>
      <c r="K112" s="16">
        <f>PI()</f>
        <v>3.1415926535897931</v>
      </c>
      <c r="L112" s="16">
        <f>PI()</f>
        <v>3.1415926535897931</v>
      </c>
      <c r="M112" s="16" t="s">
        <v>56</v>
      </c>
      <c r="N112" s="16" t="s">
        <v>56</v>
      </c>
      <c r="O112" s="29"/>
      <c r="P112" s="28"/>
      <c r="Q112" s="28"/>
      <c r="R112" s="28"/>
      <c r="S112" s="28"/>
      <c r="T112" s="28"/>
      <c r="U112" s="28"/>
      <c r="V112" s="28"/>
      <c r="W112" s="28"/>
      <c r="X112" s="14">
        <f>PI()</f>
        <v>3.1415926535897931</v>
      </c>
      <c r="Y112" s="14">
        <f>PI()</f>
        <v>3.1415926535897931</v>
      </c>
      <c r="Z112" s="14" t="s">
        <v>56</v>
      </c>
      <c r="AA112" s="14" t="s">
        <v>56</v>
      </c>
    </row>
    <row r="113" spans="1:27" x14ac:dyDescent="0.2">
      <c r="A113" s="25"/>
      <c r="B113" s="25" t="s">
        <v>55</v>
      </c>
      <c r="C113" s="25">
        <v>5610467.5770416996</v>
      </c>
      <c r="D113" s="25">
        <v>5874939.8741149995</v>
      </c>
      <c r="E113" s="25">
        <v>5939644.7701116996</v>
      </c>
      <c r="F113" s="25">
        <v>5726819.6678288002</v>
      </c>
      <c r="G113" s="25"/>
      <c r="H113" s="25"/>
      <c r="I113" s="24"/>
      <c r="J113" s="30"/>
      <c r="K113" s="16">
        <v>8.1819191042799999E-2</v>
      </c>
      <c r="L113" s="16">
        <v>8.1813334016899997E-2</v>
      </c>
      <c r="M113" s="16" t="s">
        <v>54</v>
      </c>
      <c r="N113" s="16" t="s">
        <v>53</v>
      </c>
      <c r="O113" s="29"/>
      <c r="P113" s="28"/>
      <c r="Q113" s="28"/>
      <c r="R113" s="28"/>
      <c r="S113" s="28"/>
      <c r="T113" s="28"/>
      <c r="U113" s="28"/>
      <c r="V113" s="28"/>
      <c r="W113" s="28"/>
      <c r="X113" s="14">
        <v>8.1819191042799999E-2</v>
      </c>
      <c r="Y113" s="14">
        <v>8.1813334016899997E-2</v>
      </c>
      <c r="Z113" s="14" t="s">
        <v>54</v>
      </c>
      <c r="AA113" s="14" t="s">
        <v>53</v>
      </c>
    </row>
    <row r="114" spans="1:27" x14ac:dyDescent="0.2">
      <c r="A114" s="25"/>
      <c r="B114" s="25" t="s">
        <v>52</v>
      </c>
      <c r="C114" s="25">
        <f>(2*C110*SIN((C104-C113)/C110))/(COS((C104-C113)/C110)+COSH(C105/C110))</f>
        <v>20760.238932895241</v>
      </c>
      <c r="D114" s="25">
        <f>(2*D110*SIN((D104-D113)/D110))/(COS((D104-D113)/D110)+COSH(D105/D110))</f>
        <v>-243388.4172994984</v>
      </c>
      <c r="E114" s="25">
        <f>(2*E110*SIN((E104-E113)/E110))/(COS((E104-E113)/E110)+COSH(E105/E110))</f>
        <v>-302977.00244738435</v>
      </c>
      <c r="F114" s="25">
        <f>(2*F110*SIN((F104-F113)/F110))/(COS((F104-F113)/F110)+COSH(F105/F110))</f>
        <v>-89014.226665557959</v>
      </c>
      <c r="G114" s="25"/>
      <c r="H114" s="25"/>
      <c r="I114" s="24"/>
      <c r="J114" s="30"/>
      <c r="K114" s="16">
        <f>K113*K113</f>
        <v>6.6943800228982039E-3</v>
      </c>
      <c r="L114" s="16">
        <f>L113*L113</f>
        <v>6.6934216229608458E-3</v>
      </c>
      <c r="M114" s="16" t="s">
        <v>51</v>
      </c>
      <c r="N114" s="16" t="s">
        <v>51</v>
      </c>
      <c r="O114" s="29" t="s">
        <v>52</v>
      </c>
      <c r="P114" s="28">
        <f>(P117-C108)/C77</f>
        <v>-5468093.6187237445</v>
      </c>
      <c r="Q114" s="28">
        <f>(Q117-D108)/D77</f>
        <v>-5807161.4322864572</v>
      </c>
      <c r="R114" s="28">
        <f>(R117-E108)/E77</f>
        <v>-6000200.040008001</v>
      </c>
      <c r="S114" s="28">
        <f>(S117-F108)/F77</f>
        <v>-5628125.6251250245</v>
      </c>
      <c r="T114" s="28"/>
      <c r="U114" s="28"/>
      <c r="V114" s="28"/>
      <c r="W114" s="28"/>
      <c r="X114" s="14">
        <f>X113*X113</f>
        <v>6.6943800228982039E-3</v>
      </c>
      <c r="Y114" s="14">
        <f>Y113*Y113</f>
        <v>6.6934216229608458E-3</v>
      </c>
      <c r="Z114" s="14" t="s">
        <v>51</v>
      </c>
      <c r="AA114" s="14" t="s">
        <v>51</v>
      </c>
    </row>
    <row r="115" spans="1:27" x14ac:dyDescent="0.2">
      <c r="A115" s="25"/>
      <c r="B115" s="25" t="s">
        <v>50</v>
      </c>
      <c r="C115" s="25">
        <f>(2*C110*SINH(C105/C110))/(COS((C104-C113)/C110)+COSH(C105/C110))</f>
        <v>-45905.735823286603</v>
      </c>
      <c r="D115" s="25">
        <f>(2*D110*SINH(D105/D110))/(COS((D104-D113)/D110)+COSH(D105/D110))</f>
        <v>-75496.408316898145</v>
      </c>
      <c r="E115" s="25">
        <f>(2*E110*SINH(E105/E110))/(COS((E104-E113)/E110)+COSH(E105/E110))</f>
        <v>241400.53846342323</v>
      </c>
      <c r="F115" s="25">
        <f>(2*F110*SINH(F105/F110))/(COS((F104-F113)/F110)+COSH(F105/F110))</f>
        <v>264949.78289732046</v>
      </c>
      <c r="G115" s="25"/>
      <c r="H115" s="25"/>
      <c r="I115" s="24"/>
      <c r="J115" s="30"/>
      <c r="K115" s="16">
        <f>(K110-K117)*(K110+K117)</f>
        <v>-4287095535.8460059</v>
      </c>
      <c r="L115" s="16">
        <f>(L110-L117)*(L110+L117)</f>
        <v>-815523031.84877527</v>
      </c>
      <c r="M115" s="16" t="s">
        <v>49</v>
      </c>
      <c r="N115" s="16" t="s">
        <v>49</v>
      </c>
      <c r="O115" s="29" t="s">
        <v>50</v>
      </c>
      <c r="P115" s="28">
        <f>(P118-C109)/C77</f>
        <v>-4637927.5855171038</v>
      </c>
      <c r="Q115" s="28">
        <f>(Q118-D109)/D77</f>
        <v>-4603920.784156831</v>
      </c>
      <c r="R115" s="28">
        <f>(R118-E109)/E77</f>
        <v>-3501700.3400680134</v>
      </c>
      <c r="S115" s="28">
        <f>(S118-F109)/F77</f>
        <v>-3703740.7481496297</v>
      </c>
      <c r="T115" s="28"/>
      <c r="U115" s="28"/>
      <c r="V115" s="28"/>
      <c r="W115" s="28"/>
      <c r="X115" s="14">
        <f>(X110-X117)*(X110+X117)</f>
        <v>-4287095535.8460059</v>
      </c>
      <c r="Y115" s="14">
        <f>(Y110-Y117)*(Y110+Y117)</f>
        <v>-815523031.84877527</v>
      </c>
      <c r="Z115" s="14" t="s">
        <v>49</v>
      </c>
      <c r="AA115" s="14" t="s">
        <v>49</v>
      </c>
    </row>
    <row r="116" spans="1:27" ht="15" thickBot="1" x14ac:dyDescent="0.25">
      <c r="A116" s="25"/>
      <c r="B116" s="25"/>
      <c r="C116" s="25"/>
      <c r="D116" s="25"/>
      <c r="E116" s="25"/>
      <c r="F116" s="25"/>
      <c r="G116" s="25"/>
      <c r="H116" s="25"/>
      <c r="I116" s="24"/>
      <c r="J116" s="30"/>
      <c r="K116" s="16">
        <f>K117-K114*K117</f>
        <v>6335773.1458700942</v>
      </c>
      <c r="L116" s="16">
        <f>L117-L114*L117</f>
        <v>6335616.2188205281</v>
      </c>
      <c r="M116" s="16" t="s">
        <v>48</v>
      </c>
      <c r="N116" s="16" t="s">
        <v>48</v>
      </c>
      <c r="O116" s="29"/>
      <c r="P116" s="27"/>
      <c r="Q116" s="27"/>
      <c r="R116" s="27"/>
      <c r="S116" s="27"/>
      <c r="T116" s="27"/>
      <c r="U116" s="27"/>
      <c r="V116" s="28"/>
      <c r="W116" s="27"/>
      <c r="X116" s="14">
        <f>X117-X114*X117</f>
        <v>6335773.1458700942</v>
      </c>
      <c r="Y116" s="14">
        <f>Y117-Y114*Y117</f>
        <v>6335616.2188205281</v>
      </c>
      <c r="Z116" s="14" t="s">
        <v>48</v>
      </c>
      <c r="AA116" s="14" t="s">
        <v>48</v>
      </c>
    </row>
    <row r="117" spans="1:27" ht="15.75" thickTop="1" thickBot="1" x14ac:dyDescent="0.25">
      <c r="A117" s="25"/>
      <c r="B117" s="25" t="s">
        <v>47</v>
      </c>
      <c r="C117" s="26">
        <f>C77*C114+C108</f>
        <v>5487756.0868851086</v>
      </c>
      <c r="D117" s="26">
        <f>D77*D114+D108</f>
        <v>5562660.2603839617</v>
      </c>
      <c r="E117" s="26">
        <f>E77*E114+E108</f>
        <v>5696083.5929531055</v>
      </c>
      <c r="F117" s="26">
        <f>F77*F114+F108</f>
        <v>5538003.5761797754</v>
      </c>
      <c r="G117" s="26">
        <f>G77*G104-4700000</f>
        <v>931965.57595354319</v>
      </c>
      <c r="H117" s="26">
        <f>H77*H104-0</f>
        <v>5637097.580054841</v>
      </c>
      <c r="I117" s="24">
        <f>I77*I104-0</f>
        <v>5636537.9815118881</v>
      </c>
      <c r="J117" s="23">
        <f>J77*J104-5300000</f>
        <v>327927.40999945626</v>
      </c>
      <c r="K117" s="16">
        <f>POWER((POWER(K106,2)+POWER(K107,2)),1/2)</f>
        <v>6378473.0685568349</v>
      </c>
      <c r="L117" s="16">
        <f>POWER((POWER(L106,2)+POWER(L107,2)),1/2)</f>
        <v>6378308.929728698</v>
      </c>
      <c r="M117" s="16" t="s">
        <v>46</v>
      </c>
      <c r="N117" s="16" t="s">
        <v>46</v>
      </c>
      <c r="O117" s="22" t="s">
        <v>13</v>
      </c>
      <c r="P117" s="21"/>
      <c r="Q117" s="21"/>
      <c r="R117" s="21"/>
      <c r="S117" s="21"/>
      <c r="T117" s="21"/>
      <c r="U117" s="21"/>
      <c r="V117" s="21"/>
      <c r="W117" s="21"/>
      <c r="X117" s="14">
        <f>POWER((POWER(X106,2)+POWER(X107,2)),1/2)</f>
        <v>6378473.0685568349</v>
      </c>
      <c r="Y117" s="14">
        <f>POWER((POWER(Y106,2)+POWER(Y107,2)),1/2)</f>
        <v>6378308.929728698</v>
      </c>
      <c r="Z117" s="14" t="s">
        <v>46</v>
      </c>
      <c r="AA117" s="14" t="s">
        <v>46</v>
      </c>
    </row>
    <row r="118" spans="1:27" ht="15.75" thickTop="1" thickBot="1" x14ac:dyDescent="0.25">
      <c r="A118" s="25"/>
      <c r="B118" s="25" t="s">
        <v>45</v>
      </c>
      <c r="C118" s="26">
        <f>C77*C115+C109</f>
        <v>4591103.445323878</v>
      </c>
      <c r="D118" s="26">
        <f>D77*D115+D109</f>
        <v>4527518.6909647649</v>
      </c>
      <c r="E118" s="26">
        <f>E77*E115+E109</f>
        <v>3742352.2583557307</v>
      </c>
      <c r="F118" s="26">
        <f>F77*F115+F109</f>
        <v>3967896.7929407409</v>
      </c>
      <c r="G118" s="26">
        <f>G77*G105+237000</f>
        <v>340871.52586721774</v>
      </c>
      <c r="H118" s="25">
        <f>IF($B$152=1,H77*H105+3500000,H77*H105+4500000)</f>
        <v>4248544.0678577498</v>
      </c>
      <c r="I118" s="24">
        <f>IF($B$153=1,I77*I105+5500000,IF($B$153=2,I77*I105+6500000,IF($B$153=3,I77*I105+7500000,I77*I105+8500000)))</f>
        <v>8248442.0566859134</v>
      </c>
      <c r="J118" s="23">
        <f>J77*J105+500000</f>
        <v>600740.93000002159</v>
      </c>
      <c r="K118" s="16">
        <f>ATAN((K108+0)/K117)</f>
        <v>-1.1703805187843676E-5</v>
      </c>
      <c r="L118" s="16">
        <f>ATAN((L108+0)/L117)</f>
        <v>1.1704154527752527E-5</v>
      </c>
      <c r="M118" s="16" t="s">
        <v>44</v>
      </c>
      <c r="N118" s="16" t="s">
        <v>44</v>
      </c>
      <c r="O118" s="22" t="s">
        <v>14</v>
      </c>
      <c r="P118" s="21"/>
      <c r="Q118" s="21"/>
      <c r="R118" s="21"/>
      <c r="S118" s="21"/>
      <c r="T118" s="21"/>
      <c r="U118" s="21"/>
      <c r="V118" s="21"/>
      <c r="W118" s="21"/>
      <c r="X118" s="14">
        <f>ATAN((X108+0)/X117)</f>
        <v>-1.1703805187843676E-5</v>
      </c>
      <c r="Y118" s="14">
        <f>ATAN((Y108+0)/Y117)</f>
        <v>1.1704154527752527E-5</v>
      </c>
      <c r="Z118" s="14" t="s">
        <v>44</v>
      </c>
      <c r="AA118" s="14" t="s">
        <v>44</v>
      </c>
    </row>
    <row r="119" spans="1:27" ht="15" thickTop="1" x14ac:dyDescent="0.2">
      <c r="A119" s="20"/>
      <c r="B119" s="20"/>
      <c r="C119" s="20"/>
      <c r="D119" s="20"/>
      <c r="E119" s="20"/>
      <c r="F119" s="20"/>
      <c r="G119" s="20"/>
      <c r="H119" s="20"/>
      <c r="I119" s="20"/>
      <c r="J119" s="20"/>
      <c r="K119" s="16">
        <f>K113*SIN(K118)</f>
        <v>-9.575958725700337E-7</v>
      </c>
      <c r="L119" s="16">
        <f>L113*SIN(L118)</f>
        <v>9.5755590374256771E-7</v>
      </c>
      <c r="M119" s="16" t="s">
        <v>43</v>
      </c>
      <c r="N119" s="16" t="s">
        <v>43</v>
      </c>
      <c r="O119" s="18"/>
      <c r="P119" s="18"/>
      <c r="Q119" s="18"/>
      <c r="R119" s="18"/>
      <c r="S119" s="18"/>
      <c r="T119" s="18"/>
      <c r="U119" s="19"/>
      <c r="V119" s="19"/>
      <c r="W119" s="18"/>
      <c r="X119" s="14">
        <f>X113*SIN(X118)</f>
        <v>-9.575958725700337E-7</v>
      </c>
      <c r="Y119" s="14">
        <f>Y113*SIN(Y118)</f>
        <v>9.5755590374256771E-7</v>
      </c>
      <c r="Z119" s="14" t="s">
        <v>43</v>
      </c>
      <c r="AA119" s="14" t="s">
        <v>43</v>
      </c>
    </row>
    <row r="120" spans="1:27" x14ac:dyDescent="0.2">
      <c r="K120" s="17">
        <f>K110*K113*K119/POWER(1-K119*K119,1/2)</f>
        <v>-0.49972524577321636</v>
      </c>
      <c r="L120" s="17">
        <f>L110*L113*L119/POWER(1-L119*L119,1/2)</f>
        <v>0.49967707735800138</v>
      </c>
      <c r="M120" s="16" t="s">
        <v>42</v>
      </c>
      <c r="N120" s="16" t="s">
        <v>42</v>
      </c>
      <c r="O120" s="11"/>
      <c r="P120" s="11"/>
      <c r="Q120" s="11"/>
      <c r="R120" s="11"/>
      <c r="S120" s="11"/>
      <c r="T120" s="11"/>
      <c r="U120" s="10"/>
      <c r="V120" s="10"/>
      <c r="W120" s="10"/>
      <c r="X120" s="15">
        <f>X110*X113*X119/POWER(1-X119*X119,1/2)</f>
        <v>-0.49972524577321636</v>
      </c>
      <c r="Y120" s="14">
        <f>Y110*Y113*Y119/POWER(1-Y119*Y119,1/2)</f>
        <v>0.49967707735800138</v>
      </c>
      <c r="Z120" s="14" t="s">
        <v>42</v>
      </c>
      <c r="AA120" s="14" t="s">
        <v>42</v>
      </c>
    </row>
    <row r="121" spans="1:27" x14ac:dyDescent="0.2">
      <c r="K121" s="17">
        <f>ATAN((K108+K120)/K117)</f>
        <v>-1.1782150779387794E-5</v>
      </c>
      <c r="L121" s="17">
        <f>ATAN((L108+L120)/L117)</f>
        <v>1.1782494583525014E-5</v>
      </c>
      <c r="M121" s="16" t="s">
        <v>41</v>
      </c>
      <c r="N121" s="16" t="s">
        <v>41</v>
      </c>
      <c r="O121" s="11"/>
      <c r="P121" s="11"/>
      <c r="Q121" s="11"/>
      <c r="R121" s="11"/>
      <c r="S121" s="11"/>
      <c r="T121" s="11"/>
      <c r="U121" s="10"/>
      <c r="V121" s="10"/>
      <c r="W121" s="10"/>
      <c r="X121" s="15">
        <f>ATAN((X108+X120)/X117)</f>
        <v>-1.1782150779387794E-5</v>
      </c>
      <c r="Y121" s="14">
        <f>ATAN((Y108+Y120)/Y117)</f>
        <v>1.1782494583525014E-5</v>
      </c>
      <c r="Z121" s="14" t="s">
        <v>41</v>
      </c>
      <c r="AA121" s="14" t="s">
        <v>41</v>
      </c>
    </row>
    <row r="122" spans="1:27" x14ac:dyDescent="0.2">
      <c r="K122" s="17">
        <f>K113*SIN(K121)</f>
        <v>-9.6400604549150105E-7</v>
      </c>
      <c r="L122" s="17">
        <f>L113*SIN(L121)</f>
        <v>9.639651648919429E-7</v>
      </c>
      <c r="M122" s="16" t="s">
        <v>40</v>
      </c>
      <c r="N122" s="16" t="s">
        <v>40</v>
      </c>
      <c r="O122" s="11"/>
      <c r="P122" s="11"/>
      <c r="Q122" s="11"/>
      <c r="R122" s="11"/>
      <c r="S122" s="11"/>
      <c r="T122" s="11"/>
      <c r="U122" s="10"/>
      <c r="V122" s="10"/>
      <c r="W122" s="10"/>
      <c r="X122" s="15">
        <f>X113*SIN(X121)</f>
        <v>-9.6400604549150105E-7</v>
      </c>
      <c r="Y122" s="14">
        <f>Y113*SIN(Y121)</f>
        <v>9.639651648919429E-7</v>
      </c>
      <c r="Z122" s="14" t="s">
        <v>40</v>
      </c>
      <c r="AA122" s="14" t="s">
        <v>40</v>
      </c>
    </row>
    <row r="123" spans="1:27" x14ac:dyDescent="0.2">
      <c r="K123" s="17">
        <f>K110*K113*K122/POWER(1-K122*K122,1/2)</f>
        <v>-0.50307042021515991</v>
      </c>
      <c r="L123" s="17">
        <f>L110*L113*L122/POWER(1-L122*L122,1/2)</f>
        <v>0.50302159318901429</v>
      </c>
      <c r="M123" s="16" t="s">
        <v>39</v>
      </c>
      <c r="N123" s="16" t="s">
        <v>39</v>
      </c>
      <c r="O123" s="11"/>
      <c r="P123" s="11"/>
      <c r="Q123" s="11"/>
      <c r="R123" s="11"/>
      <c r="S123" s="11"/>
      <c r="T123" s="11"/>
      <c r="U123" s="10"/>
      <c r="V123" s="10"/>
      <c r="W123" s="10"/>
      <c r="X123" s="15">
        <f>X110*X113*X122/POWER(1-X122*X122,1/2)</f>
        <v>-0.50307042021515991</v>
      </c>
      <c r="Y123" s="14">
        <f>Y110*Y113*Y122/POWER(1-Y122*Y122,1/2)</f>
        <v>0.50302159318901429</v>
      </c>
      <c r="Z123" s="14" t="s">
        <v>39</v>
      </c>
      <c r="AA123" s="14" t="s">
        <v>39</v>
      </c>
    </row>
    <row r="124" spans="1:27" x14ac:dyDescent="0.2">
      <c r="K124" s="17">
        <f>ATAN((K108+K123)/K117)</f>
        <v>-1.1782675226917089E-5</v>
      </c>
      <c r="L124" s="17">
        <f>ATAN((L108+L123)/L117)</f>
        <v>1.1783018941292471E-5</v>
      </c>
      <c r="M124" s="16" t="s">
        <v>38</v>
      </c>
      <c r="N124" s="16" t="s">
        <v>38</v>
      </c>
      <c r="O124" s="11"/>
      <c r="P124" s="11"/>
      <c r="Q124" s="11"/>
      <c r="R124" s="11"/>
      <c r="S124" s="11"/>
      <c r="T124" s="11"/>
      <c r="U124" s="10"/>
      <c r="V124" s="10"/>
      <c r="W124" s="10"/>
      <c r="X124" s="15">
        <f>ATAN((X108+X123)/X117)</f>
        <v>-1.1782675226917089E-5</v>
      </c>
      <c r="Y124" s="14">
        <f>ATAN((Y108+Y123)/Y117)</f>
        <v>1.1783018941292471E-5</v>
      </c>
      <c r="Z124" s="14" t="s">
        <v>38</v>
      </c>
      <c r="AA124" s="14" t="s">
        <v>38</v>
      </c>
    </row>
    <row r="125" spans="1:27" x14ac:dyDescent="0.2">
      <c r="K125" s="17">
        <f>K113*SIN(K124)</f>
        <v>-9.640489553640893E-7</v>
      </c>
      <c r="L125" s="17">
        <f>L113*SIN(L124)</f>
        <v>9.6400806434911313E-7</v>
      </c>
      <c r="M125" s="16" t="s">
        <v>37</v>
      </c>
      <c r="N125" s="16" t="s">
        <v>37</v>
      </c>
      <c r="O125" s="11"/>
      <c r="P125" s="11"/>
      <c r="Q125" s="11"/>
      <c r="R125" s="11"/>
      <c r="S125" s="11"/>
      <c r="T125" s="11"/>
      <c r="U125" s="10"/>
      <c r="V125" s="10"/>
      <c r="W125" s="10"/>
      <c r="X125" s="15">
        <f>X113*SIN(X124)</f>
        <v>-9.640489553640893E-7</v>
      </c>
      <c r="Y125" s="14">
        <f>Y113*SIN(Y124)</f>
        <v>9.6400806434911313E-7</v>
      </c>
      <c r="Z125" s="14" t="s">
        <v>37</v>
      </c>
      <c r="AA125" s="14" t="s">
        <v>37</v>
      </c>
    </row>
    <row r="126" spans="1:27" x14ac:dyDescent="0.2">
      <c r="K126" s="17">
        <f>K110*K113*K125/POWER(1-K125*K125,1/2)</f>
        <v>-0.50309281290422603</v>
      </c>
      <c r="L126" s="17">
        <f>L110*L113*L125/POWER(1-L125*L125,1/2)</f>
        <v>0.50304397921921407</v>
      </c>
      <c r="M126" s="16" t="s">
        <v>36</v>
      </c>
      <c r="N126" s="16" t="s">
        <v>36</v>
      </c>
      <c r="O126" s="11"/>
      <c r="P126" s="11"/>
      <c r="Q126" s="11"/>
      <c r="R126" s="11"/>
      <c r="S126" s="11"/>
      <c r="T126" s="11"/>
      <c r="U126" s="10"/>
      <c r="V126" s="10"/>
      <c r="W126" s="10"/>
      <c r="X126" s="15">
        <f>X110*X113*X125/POWER(1-X125*X125,1/2)</f>
        <v>-0.50309281290422603</v>
      </c>
      <c r="Y126" s="14">
        <f>Y110*Y113*Y125/POWER(1-Y125*Y125,1/2)</f>
        <v>0.50304397921921407</v>
      </c>
      <c r="Z126" s="14" t="s">
        <v>36</v>
      </c>
      <c r="AA126" s="14" t="s">
        <v>36</v>
      </c>
    </row>
    <row r="127" spans="1:27" x14ac:dyDescent="0.2">
      <c r="K127" s="17">
        <f>ATAN((K108+K126)/K117)</f>
        <v>-1.1782678737583171E-5</v>
      </c>
      <c r="L127" s="17">
        <f>ATAN((L108+L126)/L117)</f>
        <v>1.1783022451004911E-5</v>
      </c>
      <c r="M127" s="16" t="s">
        <v>35</v>
      </c>
      <c r="N127" s="16" t="s">
        <v>35</v>
      </c>
      <c r="O127" s="11"/>
      <c r="P127" s="11"/>
      <c r="Q127" s="11"/>
      <c r="R127" s="11"/>
      <c r="S127" s="11"/>
      <c r="T127" s="11"/>
      <c r="U127" s="10"/>
      <c r="V127" s="10"/>
      <c r="W127" s="10"/>
      <c r="X127" s="15">
        <f>ATAN((X108+X126)/X117)</f>
        <v>-1.1782678737583171E-5</v>
      </c>
      <c r="Y127" s="14">
        <f>ATAN((Y108+Y126)/Y117)</f>
        <v>1.1783022451004911E-5</v>
      </c>
      <c r="Z127" s="14" t="s">
        <v>35</v>
      </c>
      <c r="AA127" s="14" t="s">
        <v>35</v>
      </c>
    </row>
    <row r="128" spans="1:27" x14ac:dyDescent="0.2">
      <c r="K128" s="17">
        <f>DEGREES(K127)</f>
        <v>-6.7509776302204858E-4</v>
      </c>
      <c r="L128" s="17">
        <f>DEGREES(L127)</f>
        <v>6.7511745635047621E-4</v>
      </c>
      <c r="M128" s="16" t="s">
        <v>34</v>
      </c>
      <c r="N128" s="16" t="s">
        <v>34</v>
      </c>
      <c r="O128" s="11"/>
      <c r="P128" s="11"/>
      <c r="Q128" s="11"/>
      <c r="R128" s="11"/>
      <c r="S128" s="11"/>
      <c r="T128" s="11"/>
      <c r="U128" s="10"/>
      <c r="V128" s="10"/>
      <c r="W128" s="10"/>
      <c r="X128" s="15">
        <f>DEGREES(X127)</f>
        <v>-6.7509776302204858E-4</v>
      </c>
      <c r="Y128" s="14">
        <f>DEGREES(Y127)</f>
        <v>6.7511745635047621E-4</v>
      </c>
      <c r="Z128" s="14" t="s">
        <v>34</v>
      </c>
      <c r="AA128" s="14" t="s">
        <v>34</v>
      </c>
    </row>
    <row r="129" spans="2:27" x14ac:dyDescent="0.2">
      <c r="K129" s="17">
        <f>DEGREES((ACOS(K106/K117)))</f>
        <v>1.0823156207189371E-3</v>
      </c>
      <c r="L129" s="17">
        <f>DEGREES((ACOS(L106/L117)))</f>
        <v>1.0823486212637567E-3</v>
      </c>
      <c r="M129" s="16" t="s">
        <v>33</v>
      </c>
      <c r="N129" s="16" t="s">
        <v>33</v>
      </c>
      <c r="O129" s="11"/>
      <c r="P129" s="11"/>
      <c r="Q129" s="11"/>
      <c r="R129" s="11"/>
      <c r="S129" s="11"/>
      <c r="T129" s="11"/>
      <c r="U129" s="10"/>
      <c r="V129" s="10"/>
      <c r="W129" s="10"/>
      <c r="X129" s="15">
        <f>DEGREES((ACOS(X106/X117)))</f>
        <v>1.0823156207189371E-3</v>
      </c>
      <c r="Y129" s="14">
        <f>DEGREES((ACOS(Y106/Y117)))</f>
        <v>1.0823486212637567E-3</v>
      </c>
      <c r="Z129" s="14" t="s">
        <v>33</v>
      </c>
      <c r="AA129" s="14" t="s">
        <v>33</v>
      </c>
    </row>
    <row r="130" spans="2:27" x14ac:dyDescent="0.2">
      <c r="K130" s="13"/>
      <c r="L130" s="13"/>
      <c r="M130" s="12"/>
      <c r="N130" s="12"/>
      <c r="O130" s="11"/>
      <c r="P130" s="11"/>
      <c r="Q130" s="11"/>
      <c r="R130" s="11"/>
      <c r="S130" s="11"/>
      <c r="T130" s="11"/>
      <c r="U130" s="10"/>
      <c r="V130" s="10"/>
      <c r="W130" s="10"/>
      <c r="X130" s="9"/>
      <c r="Y130" s="8"/>
      <c r="Z130" s="8"/>
      <c r="AA130" s="8"/>
    </row>
    <row r="131" spans="2:27" ht="15" thickBot="1" x14ac:dyDescent="0.25">
      <c r="K131" s="13"/>
      <c r="L131" s="13"/>
      <c r="M131" s="12"/>
      <c r="N131" s="12"/>
      <c r="O131" s="11"/>
      <c r="P131" s="11"/>
      <c r="Q131" s="11"/>
      <c r="R131" s="11"/>
      <c r="S131" s="11"/>
      <c r="T131" s="11"/>
      <c r="U131" s="10"/>
      <c r="V131" s="10"/>
      <c r="W131" s="10"/>
      <c r="X131" s="9"/>
      <c r="Y131" s="8"/>
      <c r="Z131" s="8"/>
      <c r="AA131" s="8"/>
    </row>
    <row r="132" spans="2:27" ht="15" thickBot="1" x14ac:dyDescent="0.25">
      <c r="B132" s="2" t="s">
        <v>32</v>
      </c>
      <c r="C132" s="7">
        <v>327927.40999999997</v>
      </c>
      <c r="K132" s="13"/>
      <c r="L132" s="13"/>
      <c r="M132" s="12"/>
      <c r="N132" s="12"/>
      <c r="O132" s="11"/>
      <c r="P132" s="11"/>
      <c r="Q132" s="11"/>
      <c r="R132" s="11"/>
      <c r="S132" s="11"/>
      <c r="T132" s="11"/>
      <c r="U132" s="10"/>
      <c r="V132" s="10"/>
      <c r="W132" s="10"/>
      <c r="X132" s="9"/>
      <c r="Y132" s="8"/>
      <c r="Z132" s="8"/>
      <c r="AA132" s="8"/>
    </row>
    <row r="133" spans="2:27" ht="15" thickBot="1" x14ac:dyDescent="0.25">
      <c r="B133" s="2" t="s">
        <v>31</v>
      </c>
      <c r="C133" s="7">
        <v>600740.93000000005</v>
      </c>
      <c r="K133" s="13"/>
      <c r="L133" s="13"/>
      <c r="M133" s="12"/>
      <c r="N133" s="12"/>
      <c r="O133" s="11"/>
      <c r="P133" s="11"/>
      <c r="Q133" s="11"/>
      <c r="R133" s="11"/>
      <c r="S133" s="11"/>
      <c r="T133" s="11"/>
      <c r="U133" s="10"/>
      <c r="V133" s="10"/>
      <c r="W133" s="10"/>
      <c r="X133" s="9"/>
      <c r="Y133" s="8"/>
      <c r="Z133" s="8"/>
      <c r="AA133" s="8"/>
    </row>
    <row r="134" spans="2:27" ht="15" thickBot="1" x14ac:dyDescent="0.25">
      <c r="K134" s="13"/>
      <c r="L134" s="13"/>
      <c r="M134" s="12"/>
      <c r="N134" s="12"/>
      <c r="O134" s="11"/>
      <c r="P134" s="11"/>
      <c r="Q134" s="11"/>
      <c r="R134" s="11"/>
      <c r="S134" s="11"/>
      <c r="T134" s="11"/>
      <c r="U134" s="10"/>
      <c r="V134" s="10"/>
      <c r="W134" s="10"/>
      <c r="X134" s="9"/>
      <c r="Y134" s="8"/>
      <c r="Z134" s="8"/>
      <c r="AA134" s="8"/>
    </row>
    <row r="135" spans="2:27" ht="15" thickBot="1" x14ac:dyDescent="0.25">
      <c r="B135" s="2" t="s">
        <v>30</v>
      </c>
      <c r="C135" s="7">
        <v>327927.40999999997</v>
      </c>
      <c r="K135" s="13"/>
      <c r="L135" s="13"/>
      <c r="M135" s="12"/>
      <c r="N135" s="12"/>
      <c r="O135" s="11"/>
      <c r="P135" s="11"/>
      <c r="Q135" s="11"/>
      <c r="R135" s="11"/>
      <c r="S135" s="11"/>
      <c r="T135" s="11"/>
      <c r="U135" s="10"/>
      <c r="V135" s="10"/>
      <c r="W135" s="10"/>
      <c r="X135" s="9"/>
      <c r="Y135" s="8"/>
      <c r="Z135" s="8"/>
      <c r="AA135" s="8"/>
    </row>
    <row r="136" spans="2:27" ht="15" thickBot="1" x14ac:dyDescent="0.25">
      <c r="B136" s="2" t="s">
        <v>29</v>
      </c>
      <c r="C136" s="7">
        <v>600740.93000000005</v>
      </c>
      <c r="K136" s="13"/>
      <c r="L136" s="13"/>
      <c r="M136" s="12"/>
      <c r="N136" s="12"/>
      <c r="O136" s="11"/>
      <c r="P136" s="11"/>
      <c r="Q136" s="11"/>
      <c r="R136" s="11"/>
      <c r="S136" s="11"/>
      <c r="T136" s="11"/>
      <c r="U136" s="10"/>
      <c r="V136" s="10"/>
      <c r="W136" s="10"/>
      <c r="X136" s="9"/>
      <c r="Y136" s="8"/>
      <c r="Z136" s="8"/>
      <c r="AA136" s="8"/>
    </row>
    <row r="141" spans="2:27" ht="15" thickBot="1" x14ac:dyDescent="0.25"/>
    <row r="142" spans="2:27" ht="15" thickBot="1" x14ac:dyDescent="0.25">
      <c r="B142" s="2" t="s">
        <v>28</v>
      </c>
      <c r="C142" s="7">
        <f>IF($B$149=1,C117,IF($B$149=2,D117,IF($B$149=3,E117,IF($B$149=4,F117,IF($B$149=5,G117,IF($B$149=6,H117,IF($B$149=7,I117,IF($B$149=8,J117,0))))))))</f>
        <v>0</v>
      </c>
    </row>
    <row r="143" spans="2:27" ht="15" thickBot="1" x14ac:dyDescent="0.25">
      <c r="B143" s="2" t="s">
        <v>27</v>
      </c>
      <c r="C143" s="7">
        <f>IF($B$149=1,C118,IF($B$149=2,D118,IF($B$149=3,E118,IF($B$149=4,F118,IF($B$149=5,G118,IF($B$149=6,H118,IF($B$149=7,I118,IF($B$149=8,J118,0))))))))</f>
        <v>0</v>
      </c>
    </row>
    <row r="144" spans="2:27" ht="15" thickBot="1" x14ac:dyDescent="0.25">
      <c r="D144" s="2" t="s">
        <v>26</v>
      </c>
      <c r="E144" s="2" t="s">
        <v>25</v>
      </c>
      <c r="F144" s="2" t="s">
        <v>24</v>
      </c>
    </row>
    <row r="145" spans="1:6" ht="15" thickBot="1" x14ac:dyDescent="0.25">
      <c r="B145" s="2" t="s">
        <v>23</v>
      </c>
      <c r="C145" s="6">
        <f>IF($B$149=9,D57,IF($B$149=10,E57,0))</f>
        <v>50.80951002625973</v>
      </c>
      <c r="D145" s="5">
        <f>TRUNC(C145)</f>
        <v>50</v>
      </c>
      <c r="E145" s="5">
        <f>TRUNC((C145-D145)*60)</f>
        <v>48</v>
      </c>
      <c r="F145" s="5">
        <f>(C145-D145)*3600-E145*60</f>
        <v>34.236094535027405</v>
      </c>
    </row>
    <row r="146" spans="1:6" ht="15" thickBot="1" x14ac:dyDescent="0.25">
      <c r="B146" s="2" t="s">
        <v>22</v>
      </c>
      <c r="C146" s="6">
        <f>IF($B$149=9,D58,IF($B$149=10,E58,0))</f>
        <v>20.430290004750535</v>
      </c>
      <c r="D146" s="5">
        <f>TRUNC(C146)</f>
        <v>20</v>
      </c>
      <c r="E146" s="5">
        <f>TRUNC((C146-D146)*60)</f>
        <v>25</v>
      </c>
      <c r="F146" s="5">
        <f>(C146-D146)*3600-E146*60</f>
        <v>49.044017101927238</v>
      </c>
    </row>
    <row r="148" spans="1:6" x14ac:dyDescent="0.2">
      <c r="A148" s="2" t="s">
        <v>21</v>
      </c>
      <c r="B148" s="4">
        <f>kalkulator!H8</f>
        <v>8</v>
      </c>
    </row>
    <row r="149" spans="1:6" x14ac:dyDescent="0.2">
      <c r="A149" s="2" t="s">
        <v>20</v>
      </c>
      <c r="B149" s="4">
        <f>kalkulator!H10</f>
        <v>10</v>
      </c>
    </row>
    <row r="150" spans="1:6" x14ac:dyDescent="0.2">
      <c r="A150" s="2" t="s">
        <v>19</v>
      </c>
      <c r="B150" s="4">
        <f>kalkulator!H9</f>
        <v>0</v>
      </c>
    </row>
    <row r="151" spans="1:6" x14ac:dyDescent="0.2">
      <c r="A151" s="2" t="s">
        <v>18</v>
      </c>
      <c r="B151" s="4">
        <f>kalkulator!H9</f>
        <v>0</v>
      </c>
    </row>
    <row r="152" spans="1:6" x14ac:dyDescent="0.2">
      <c r="A152" s="2" t="s">
        <v>17</v>
      </c>
      <c r="B152" s="4">
        <f>kalkulator!H11</f>
        <v>0</v>
      </c>
    </row>
    <row r="153" spans="1:6" x14ac:dyDescent="0.2">
      <c r="A153" s="2" t="s">
        <v>16</v>
      </c>
      <c r="B153" s="4">
        <f>kalkulator!H11</f>
        <v>0</v>
      </c>
    </row>
  </sheetData>
  <pageMargins left="0.75" right="0.75" top="1" bottom="1" header="0.5" footer="0.5"/>
  <pageSetup paperSize="9" orientation="portrait" horizontalDpi="4294967294" verticalDpi="0" r:id="rId1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Arkusze</vt:lpstr>
      </vt:variant>
      <vt:variant>
        <vt:i4>4</vt:i4>
      </vt:variant>
    </vt:vector>
  </HeadingPairs>
  <TitlesOfParts>
    <vt:vector size="4" baseType="lpstr">
      <vt:lpstr>wstep</vt:lpstr>
      <vt:lpstr>kalkulator</vt:lpstr>
      <vt:lpstr>konfig</vt:lpstr>
      <vt:lpstr>algorytm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Kuć Paweł</dc:creator>
  <cp:lastModifiedBy>Kuć Paweł</cp:lastModifiedBy>
  <dcterms:created xsi:type="dcterms:W3CDTF">2019-03-05T10:35:26Z</dcterms:created>
  <dcterms:modified xsi:type="dcterms:W3CDTF">2019-03-06T12:54:53Z</dcterms:modified>
</cp:coreProperties>
</file>